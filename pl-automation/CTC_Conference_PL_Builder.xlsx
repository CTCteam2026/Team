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" sheetId="1" state="visible" r:id="rId3"/>
    <sheet name="INPUTS" sheetId="2" state="visible" r:id="rId4"/>
    <sheet name="SCOPE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<sst xmlns="http://schemas.openxmlformats.org/spreadsheetml/2006/main" count="507" uniqueCount="290">
  <si>
    <t xml:space="preserve">PROPOSAL SUMMARY</t>
  </si>
  <si>
    <t xml:space="preserve">ITEM</t>
  </si>
  <si>
    <t xml:space="preserve">CLIENT COST</t>
  </si>
  <si>
    <t xml:space="preserve">OUR COST</t>
  </si>
  <si>
    <t xml:space="preserve">NET PROFIT</t>
  </si>
  <si>
    <t xml:space="preserve">% Profit</t>
  </si>
  <si>
    <t xml:space="preserve">TOTALS</t>
  </si>
  <si>
    <t xml:space="preserve">GRAND TOTAL</t>
  </si>
  <si>
    <t xml:space="preserve">PRE-PLANNING HOURS BY STAFF CATEGORY</t>
  </si>
  <si>
    <t xml:space="preserve">CATEGORY</t>
  </si>
  <si>
    <t xml:space="preserve">HOURS</t>
  </si>
  <si>
    <t xml:space="preserve">OUR RATE / HR</t>
  </si>
  <si>
    <t xml:space="preserve">STAFF COUNT</t>
  </si>
  <si>
    <t xml:space="preserve">HRS / PERSON / WEEK</t>
  </si>
  <si>
    <t xml:space="preserve">Managers</t>
  </si>
  <si>
    <t xml:space="preserve">Coordinators</t>
  </si>
  <si>
    <t xml:space="preserve">Team (weekly meetings)</t>
  </si>
  <si>
    <t xml:space="preserve">TOTAL PRE-PLANNING</t>
  </si>
  <si>
    <t xml:space="preserve">HRS / PERSON / WEEK is the workload check — above roughly 10, add staff or trim scope.</t>
  </si>
  <si>
    <t xml:space="preserve">EVENT MANAGEMENT</t>
  </si>
  <si>
    <t xml:space="preserve">SCOPE OF WORK</t>
  </si>
  <si>
    <t xml:space="preserve">CLIENT RATE</t>
  </si>
  <si>
    <t xml:space="preserve">OUR RATE</t>
  </si>
  <si>
    <t xml:space="preserve">ONSITE MANAGEMENT</t>
  </si>
  <si>
    <t xml:space="preserve">STAFF OVERHEAD</t>
  </si>
  <si>
    <t xml:space="preserve">STAFF HOURS</t>
  </si>
  <si>
    <t xml:space="preserve">RATE / HR</t>
  </si>
  <si>
    <t xml:space="preserve">OVERHEAD COST</t>
  </si>
  <si>
    <t xml:space="preserve">Pre-planning staff hours</t>
  </si>
  <si>
    <t xml:space="preserve">Onsite staff hours (incl. overtime)</t>
  </si>
  <si>
    <t xml:space="preserve">TOTAL STAFF OVERHEAD</t>
  </si>
  <si>
    <t xml:space="preserve">Overhead is a CTC cost — not billed, so it comes out of margin. The admin fee is charged on top of the client subtotal.</t>
  </si>
  <si>
    <t xml:space="preserve">CTC CONFERENCE P&amp;L BUILDER  —  INPUTS</t>
  </si>
  <si>
    <t xml:space="preserve">Type in the yellow cells only. Choose the scope of work on the SCOPE tab. The P&amp;L tab is all formulas — nothing to fill in there.</t>
  </si>
  <si>
    <t xml:space="preserve">1.  EVENT PROFILE</t>
  </si>
  <si>
    <t xml:space="preserve">Event / Client Name</t>
  </si>
  <si>
    <t xml:space="preserve">New Conference 2027</t>
  </si>
  <si>
    <t xml:space="preserve">Event Dates (display text)</t>
  </si>
  <si>
    <t xml:space="preserve">April 6-8, 2027</t>
  </si>
  <si>
    <t xml:space="preserve">Location</t>
  </si>
  <si>
    <t xml:space="preserve">Los Angeles, CA</t>
  </si>
  <si>
    <t xml:space="preserve">2.  EVENT SIZE</t>
  </si>
  <si>
    <t xml:space="preserve">Attendees</t>
  </si>
  <si>
    <t xml:space="preserve">Main driver of the Event Scale Index below</t>
  </si>
  <si>
    <t xml:space="preserve">Exhibitors</t>
  </si>
  <si>
    <t xml:space="preserve">Exhibit Management bills at 1 hour per exhibitor</t>
  </si>
  <si>
    <t xml:space="preserve">Sponsors</t>
  </si>
  <si>
    <t xml:space="preserve">Sponsor Management bills at 1 hour per sponsor</t>
  </si>
  <si>
    <t xml:space="preserve">Speakers</t>
  </si>
  <si>
    <t xml:space="preserve">Speaker Management bills at 1 hour per speaker, split prep / onsite</t>
  </si>
  <si>
    <t xml:space="preserve">Third-Party Vendors to Source</t>
  </si>
  <si>
    <t xml:space="preserve">Third Party Vendors bills at 5 hours per vendor sourced</t>
  </si>
  <si>
    <t xml:space="preserve">Site Visits</t>
  </si>
  <si>
    <t xml:space="preserve">Site Visits bills at 10 hours each (travel, walk-through, write-up)</t>
  </si>
  <si>
    <t xml:space="preserve">3.  SCHEDULE</t>
  </si>
  <si>
    <t xml:space="preserve">Event Days</t>
  </si>
  <si>
    <t xml:space="preserve">Set-Up / Load-In Days</t>
  </si>
  <si>
    <t xml:space="preserve">Travel Days</t>
  </si>
  <si>
    <t xml:space="preserve">TOTAL ONSITE DAYS</t>
  </si>
  <si>
    <t xml:space="preserve">Months of Pre-Planning</t>
  </si>
  <si>
    <t xml:space="preserve">Months from contract signature to day 1 of the event</t>
  </si>
  <si>
    <t xml:space="preserve">Planning Weeks</t>
  </si>
  <si>
    <t xml:space="preserve">Weekly meetings, the project management system and approvals key off this</t>
  </si>
  <si>
    <t xml:space="preserve">EVENT SCALE INDEX</t>
  </si>
  <si>
    <t xml:space="preserve">Calculated, not typed. 1.00 = a 250-person, 3-day event with 6 months of planning. Doubling attendance moves it about 26%, not 100%.</t>
  </si>
  <si>
    <t xml:space="preserve">4.  STAFFING  (headcount)</t>
  </si>
  <si>
    <t xml:space="preserve">ONSITE — Managers</t>
  </si>
  <si>
    <t xml:space="preserve">Onsite staff are costed PER PERSON — one line each on the P&amp;L</t>
  </si>
  <si>
    <t xml:space="preserve">ONSITE — Coordinators</t>
  </si>
  <si>
    <t xml:space="preserve">PRE-PLANNING — Managers</t>
  </si>
  <si>
    <t xml:space="preserve">Pre-planning is costed BY CATEGORY. Headcount sets the weekly meeting rate and the workload check on the P&amp;L.</t>
  </si>
  <si>
    <t xml:space="preserve">PRE-PLANNING — Coordinators</t>
  </si>
  <si>
    <t xml:space="preserve">5.  RATES</t>
  </si>
  <si>
    <t xml:space="preserve">Manager — OUR COST / hr</t>
  </si>
  <si>
    <t xml:space="preserve">Applies to every manager hour, pre-planning and onsite</t>
  </si>
  <si>
    <t xml:space="preserve">Coordinator — OUR COST / hr</t>
  </si>
  <si>
    <t xml:space="preserve">Applies to every coordinator hour, pre-planning and onsite</t>
  </si>
  <si>
    <t xml:space="preserve">Manager — CLIENT RATE / hr (pre-planning)</t>
  </si>
  <si>
    <t xml:space="preserve">Coordinator — CLIENT RATE / hr (pre-planning)</t>
  </si>
  <si>
    <t xml:space="preserve">Manager — CLIENT RATE / hr (onsite)</t>
  </si>
  <si>
    <t xml:space="preserve">Coordinator — CLIENT RATE / hr (onsite)</t>
  </si>
  <si>
    <t xml:space="preserve">Overtime Multiplier</t>
  </si>
  <si>
    <t xml:space="preserve">Coordinator overtime is billed and costed at 1.5x</t>
  </si>
  <si>
    <t xml:space="preserve">6.  ONSITE HOURS PER DAY</t>
  </si>
  <si>
    <t xml:space="preserve">Manager hours per onsite day</t>
  </si>
  <si>
    <t xml:space="preserve">Applied to event days + set-up days</t>
  </si>
  <si>
    <t xml:space="preserve">Coordinator REGULAR hours per onsite day</t>
  </si>
  <si>
    <t xml:space="preserve">Coordinators run 8 regular + 2 overtime on a normal show day</t>
  </si>
  <si>
    <t xml:space="preserve">Coordinator OVERTIME hours per onsite day</t>
  </si>
  <si>
    <t xml:space="preserve">Hours per travel day</t>
  </si>
  <si>
    <t xml:space="preserve">7.  OVERHEAD, FEES &amp; DISCOUNTS</t>
  </si>
  <si>
    <t xml:space="preserve">Staff Overhead per hour</t>
  </si>
  <si>
    <t xml:space="preserve">Charged against every CTC staff hour. A cost to us — not billed.</t>
  </si>
  <si>
    <t xml:space="preserve">Admin Fee %</t>
  </si>
  <si>
    <t xml:space="preserve">2% of the client subtotal, added to the client price. No cost against it.</t>
  </si>
  <si>
    <t xml:space="preserve">Multi-Year Discount %</t>
  </si>
  <si>
    <t xml:space="preserve">The '5% off additional years' line, off unless switched on below.</t>
  </si>
  <si>
    <t xml:space="preserve">Apply Multi-Year Discount?</t>
  </si>
  <si>
    <t xml:space="preserve">No</t>
  </si>
  <si>
    <t xml:space="preserve">8.  ONSITE ROLE TITLES</t>
  </si>
  <si>
    <t xml:space="preserve">ONSITE MANAGERS</t>
  </si>
  <si>
    <t xml:space="preserve">Only the first N lines are used, where N is the headcount in section 4. Titles are labels only — rates come from section 5.</t>
  </si>
  <si>
    <t xml:space="preserve">    Manager 1</t>
  </si>
  <si>
    <t xml:space="preserve">Project Manager</t>
  </si>
  <si>
    <t xml:space="preserve">    Manager 2</t>
  </si>
  <si>
    <t xml:space="preserve">Event Manager</t>
  </si>
  <si>
    <t xml:space="preserve">    Manager 3</t>
  </si>
  <si>
    <t xml:space="preserve">Executive Producer</t>
  </si>
  <si>
    <t xml:space="preserve">    Manager 4</t>
  </si>
  <si>
    <t xml:space="preserve">Registration Manager</t>
  </si>
  <si>
    <t xml:space="preserve">    Manager 5</t>
  </si>
  <si>
    <t xml:space="preserve">Housing / Expo Manager</t>
  </si>
  <si>
    <t xml:space="preserve">    Manager 6</t>
  </si>
  <si>
    <t xml:space="preserve">Production Manager</t>
  </si>
  <si>
    <t xml:space="preserve">    Manager 7</t>
  </si>
  <si>
    <t xml:space="preserve">Manager 7</t>
  </si>
  <si>
    <t xml:space="preserve">    Manager 8</t>
  </si>
  <si>
    <t xml:space="preserve">Manager 8</t>
  </si>
  <si>
    <t xml:space="preserve">    Manager 9</t>
  </si>
  <si>
    <t xml:space="preserve">Manager 9</t>
  </si>
  <si>
    <t xml:space="preserve">    Manager 10</t>
  </si>
  <si>
    <t xml:space="preserve">Manager 10</t>
  </si>
  <si>
    <t xml:space="preserve">ONSITE COORDINATORS</t>
  </si>
  <si>
    <t xml:space="preserve">    Coordinator 1</t>
  </si>
  <si>
    <t xml:space="preserve">Event Coordinator</t>
  </si>
  <si>
    <t xml:space="preserve">    Coordinator 2</t>
  </si>
  <si>
    <t xml:space="preserve">Registration Coordinator</t>
  </si>
  <si>
    <t xml:space="preserve">    Coordinator 3</t>
  </si>
  <si>
    <t xml:space="preserve">Office Manager</t>
  </si>
  <si>
    <t xml:space="preserve">    Coordinator 4</t>
  </si>
  <si>
    <t xml:space="preserve">Production Assistant</t>
  </si>
  <si>
    <t xml:space="preserve">    Coordinator 5</t>
  </si>
  <si>
    <t xml:space="preserve">Exhibit Coordinator</t>
  </si>
  <si>
    <t xml:space="preserve">    Coordinator 6</t>
  </si>
  <si>
    <t xml:space="preserve">Housing Coordinator</t>
  </si>
  <si>
    <t xml:space="preserve">    Coordinator 7</t>
  </si>
  <si>
    <t xml:space="preserve">Coordinator 7</t>
  </si>
  <si>
    <t xml:space="preserve">    Coordinator 8</t>
  </si>
  <si>
    <t xml:space="preserve">Coordinator 8</t>
  </si>
  <si>
    <t xml:space="preserve">    Coordinator 9</t>
  </si>
  <si>
    <t xml:space="preserve">Coordinator 9</t>
  </si>
  <si>
    <t xml:space="preserve">    Coordinator 10</t>
  </si>
  <si>
    <t xml:space="preserve">Coordinator 10</t>
  </si>
  <si>
    <t xml:space="preserve">SCOPE OF WORK  —  matches the 2026 Master Proposal Template</t>
  </si>
  <si>
    <t xml:space="preserve">Set INCLUDE? on every line. Hours calculate from the INPUTS tab; type a number into OVERRIDE HOURS to force a line. The P&amp;L rolls these up to the top-level headings.</t>
  </si>
  <si>
    <t xml:space="preserve">#</t>
  </si>
  <si>
    <t xml:space="preserve">SCOPE OF WORK ITEM</t>
  </si>
  <si>
    <t xml:space="preserve">TOP-LEVEL HEADING</t>
  </si>
  <si>
    <t xml:space="preserve">STAFF</t>
  </si>
  <si>
    <t xml:space="preserve">INCLUDE?</t>
  </si>
  <si>
    <t xml:space="preserve">HOW THE HOURS ARE CALCULATED</t>
  </si>
  <si>
    <t xml:space="preserve">CALC.
HOURS</t>
  </si>
  <si>
    <t xml:space="preserve">OVERRIDE
HOURS</t>
  </si>
  <si>
    <t xml:space="preserve">HOURS
USED</t>
  </si>
  <si>
    <t xml:space="preserve">CLIENT
RATE</t>
  </si>
  <si>
    <t xml:space="preserve">OUR
RATE</t>
  </si>
  <si>
    <t xml:space="preserve">CLIENT
COST</t>
  </si>
  <si>
    <t xml:space="preserve">OUR
COST</t>
  </si>
  <si>
    <t xml:space="preserve">SEQ</t>
  </si>
  <si>
    <t xml:space="preserve">PLANNING, TIMELINE &amp; COMMUNICATIONS: Project Management System (ClickUp &amp; Google Drive)</t>
  </si>
  <si>
    <t xml:space="preserve">PLANNING, TIMELINE &amp; COMMUNICATIONS</t>
  </si>
  <si>
    <t xml:space="preserve">Coordinator</t>
  </si>
  <si>
    <t xml:space="preserve">Yes</t>
  </si>
  <si>
    <t xml:space="preserve">1 hr per planning week</t>
  </si>
  <si>
    <t xml:space="preserve">PLANNING, TIMELINE &amp; COMMUNICATIONS: Meetings, Minutes &amp; Agendas</t>
  </si>
  <si>
    <t xml:space="preserve">Team</t>
  </si>
  <si>
    <t xml:space="preserve">1 hr per planning week, whole team</t>
  </si>
  <si>
    <t xml:space="preserve">VENUE SOURCING</t>
  </si>
  <si>
    <t xml:space="preserve">PLANNING, TIMELINE &amp; COMMUNICATIONS: Roles &amp; Responsibilities</t>
  </si>
  <si>
    <t xml:space="preserve">Manager</t>
  </si>
  <si>
    <t xml:space="preserve">5 x scale index</t>
  </si>
  <si>
    <t xml:space="preserve">VENUE MANAGEMENT</t>
  </si>
  <si>
    <t xml:space="preserve">PLANNING, TIMELINE &amp; COMMUNICATIONS: Communication &amp; Approvals</t>
  </si>
  <si>
    <t xml:space="preserve">EVENT BRANDING</t>
  </si>
  <si>
    <t xml:space="preserve">VENUE SOURCING: Request for Proposal</t>
  </si>
  <si>
    <t xml:space="preserve">6 x scale index</t>
  </si>
  <si>
    <t xml:space="preserve">FOOD &amp; BEVERAGE</t>
  </si>
  <si>
    <t xml:space="preserve">VENUE SOURCING: Venue/Hotel Analysis</t>
  </si>
  <si>
    <t xml:space="preserve">REGISTRATION</t>
  </si>
  <si>
    <t xml:space="preserve">VENUE SOURCING: Site Visits</t>
  </si>
  <si>
    <t xml:space="preserve">10 hrs per site visit</t>
  </si>
  <si>
    <t xml:space="preserve">SWAG BAG</t>
  </si>
  <si>
    <t xml:space="preserve">VENUE SOURCING: Contract Negotiations</t>
  </si>
  <si>
    <t xml:space="preserve">HOUSING LOGISTICS</t>
  </si>
  <si>
    <t xml:space="preserve">VENUE MANAGEMENT: Venue Logistics</t>
  </si>
  <si>
    <t xml:space="preserve">16 x scale index</t>
  </si>
  <si>
    <t xml:space="preserve">THIRD PARTY VENDORS</t>
  </si>
  <si>
    <t xml:space="preserve">VENUE MANAGEMENT: Meeting Space</t>
  </si>
  <si>
    <t xml:space="preserve">10 x scale index</t>
  </si>
  <si>
    <t xml:space="preserve">STAFF MANAGEMENT</t>
  </si>
  <si>
    <t xml:space="preserve">EVENT BRANDING: Attendee Experience</t>
  </si>
  <si>
    <t xml:space="preserve">7 x scale index</t>
  </si>
  <si>
    <t xml:space="preserve">VIP &amp; PRESS LOGISTICS</t>
  </si>
  <si>
    <t xml:space="preserve">EVENT BRANDING: Signage</t>
  </si>
  <si>
    <t xml:space="preserve">14 x scale index</t>
  </si>
  <si>
    <t xml:space="preserve">SPONSORSHIPS</t>
  </si>
  <si>
    <t xml:space="preserve">EVENT BRANDING: Décor</t>
  </si>
  <si>
    <t xml:space="preserve">8 x scale index</t>
  </si>
  <si>
    <t xml:space="preserve">SPEAKER MANAGEMENT</t>
  </si>
  <si>
    <t xml:space="preserve">EVENT BRANDING: Graphic Design (add-on)</t>
  </si>
  <si>
    <t xml:space="preserve">26 x scale index</t>
  </si>
  <si>
    <t xml:space="preserve">PROGRAMMING</t>
  </si>
  <si>
    <t xml:space="preserve">FOOD &amp; BEVERAGE: Food &amp; Beverage Management</t>
  </si>
  <si>
    <t xml:space="preserve">22 x scale index</t>
  </si>
  <si>
    <t xml:space="preserve">RECEPTION PLANNING</t>
  </si>
  <si>
    <t xml:space="preserve">REGISTRATION: Online Registration / Build-Out</t>
  </si>
  <si>
    <t xml:space="preserve">35 x scale index</t>
  </si>
  <si>
    <t xml:space="preserve">FINANCIAL MANAGEMENT</t>
  </si>
  <si>
    <t xml:space="preserve">REGISTRATION: Onsite Registration</t>
  </si>
  <si>
    <t xml:space="preserve">18 x scale index</t>
  </si>
  <si>
    <t xml:space="preserve">EVENT MARKETING</t>
  </si>
  <si>
    <t xml:space="preserve">REGISTRATION: Mobile App</t>
  </si>
  <si>
    <t xml:space="preserve">25 x scale index</t>
  </si>
  <si>
    <t xml:space="preserve">EXHIBIT MANAGEMENT</t>
  </si>
  <si>
    <t xml:space="preserve">SWAG BAG: Swag Bag Sourcing, Assembly &amp; Distribution</t>
  </si>
  <si>
    <t xml:space="preserve">20 x scale index</t>
  </si>
  <si>
    <t xml:space="preserve">POST-EVENT</t>
  </si>
  <si>
    <t xml:space="preserve">HOUSING LOGISTICS: Room Blocks</t>
  </si>
  <si>
    <t xml:space="preserve">TOURNAMENTS</t>
  </si>
  <si>
    <t xml:space="preserve">HOUSING LOGISTICS: Housing Reports</t>
  </si>
  <si>
    <t xml:space="preserve">4 x scale index</t>
  </si>
  <si>
    <t xml:space="preserve">HOUSING LOGISTICS: Concession Management</t>
  </si>
  <si>
    <t xml:space="preserve">3 x scale index</t>
  </si>
  <si>
    <t xml:space="preserve">HOUSING LOGISTICS: Attendee Liaison</t>
  </si>
  <si>
    <t xml:space="preserve">HOUSING LOGISTICS: Overflow Hotel Sourcing</t>
  </si>
  <si>
    <t xml:space="preserve">THIRD PARTY VENDORS: Vendors</t>
  </si>
  <si>
    <t xml:space="preserve">5 hrs per vendor sourced</t>
  </si>
  <si>
    <t xml:space="preserve">THIRD PARTY VENDORS: Photographer / Videographer</t>
  </si>
  <si>
    <t xml:space="preserve">STAFF MANAGEMENT: Temporary Staff</t>
  </si>
  <si>
    <t xml:space="preserve">STAFF MANAGEMENT: Volunteers</t>
  </si>
  <si>
    <t xml:space="preserve">VIP &amp; PRESS LOGISTICS: VIPs</t>
  </si>
  <si>
    <t xml:space="preserve">12 x scale index</t>
  </si>
  <si>
    <t xml:space="preserve">VIP &amp; PRESS LOGISTICS: Press Logistics</t>
  </si>
  <si>
    <t xml:space="preserve">SPONSORSHIPS: Sponsorship Opportunities</t>
  </si>
  <si>
    <t xml:space="preserve">SPONSORSHIPS: Sponsor Management</t>
  </si>
  <si>
    <t xml:space="preserve">1 hr per sponsor</t>
  </si>
  <si>
    <t xml:space="preserve">SPEAKER MANAGEMENT: Speaker Prep</t>
  </si>
  <si>
    <t xml:space="preserve">0.7 hrs per speaker</t>
  </si>
  <si>
    <t xml:space="preserve">SPEAKER MANAGEMENT: Speaker Management Onsite</t>
  </si>
  <si>
    <t xml:space="preserve">0.3 hrs per speaker</t>
  </si>
  <si>
    <t xml:space="preserve">PROGRAMMING: Audio Visual</t>
  </si>
  <si>
    <t xml:space="preserve">PROGRAMMING: Stage Production</t>
  </si>
  <si>
    <t xml:space="preserve">15 x scale index</t>
  </si>
  <si>
    <t xml:space="preserve">PROGRAMMING: Entertainment &amp; Talent</t>
  </si>
  <si>
    <t xml:space="preserve">PROGRAMMING: Recording &amp; Broadcast — Pre-Event Coordination</t>
  </si>
  <si>
    <t xml:space="preserve">PROGRAMMING: Recording &amp; Broadcast — Onsite Support</t>
  </si>
  <si>
    <t xml:space="preserve">RECEPTION PLANNING: Concept &amp; Strategy</t>
  </si>
  <si>
    <t xml:space="preserve">RECEPTION PLANNING: Venue &amp; Layout</t>
  </si>
  <si>
    <t xml:space="preserve">RECEPTION PLANNING: Food &amp; Beverage</t>
  </si>
  <si>
    <t xml:space="preserve">RECEPTION PLANNING: Entertainment &amp; Atmosphere</t>
  </si>
  <si>
    <t xml:space="preserve">RECEPTION PLANNING: Guest Experience</t>
  </si>
  <si>
    <t xml:space="preserve">RECEPTION PLANNING: Staffing &amp; Logistics</t>
  </si>
  <si>
    <t xml:space="preserve">RECEPTION PLANNING: Capture &amp; Follow-Up</t>
  </si>
  <si>
    <t xml:space="preserve">2 x scale index</t>
  </si>
  <si>
    <t xml:space="preserve">FINANCIAL MANAGEMENT: Budgets, Reporting &amp; Billing</t>
  </si>
  <si>
    <t xml:space="preserve">EVENT MARKETING: Strategy &amp; Timeline</t>
  </si>
  <si>
    <t xml:space="preserve">EVENT MARKETING: Social Media &amp; Email Campaigns</t>
  </si>
  <si>
    <t xml:space="preserve">9 x scale index</t>
  </si>
  <si>
    <t xml:space="preserve">EVENT MARKETING: Messaging</t>
  </si>
  <si>
    <t xml:space="preserve">EVENT MARKETING: Marketing Assistance</t>
  </si>
  <si>
    <t xml:space="preserve">EXHIBIT MANAGEMENT: Exhibitor Planning &amp; Onsite Execution</t>
  </si>
  <si>
    <t xml:space="preserve">1 hr per exhibitor</t>
  </si>
  <si>
    <t xml:space="preserve">POST-EVENT: Debrief, Reporting &amp; Recommendations</t>
  </si>
  <si>
    <t xml:space="preserve">TOURNAMENTS: Venue Booking &amp; Coordination</t>
  </si>
  <si>
    <t xml:space="preserve">TOURNAMENTS: Registration &amp; Communications</t>
  </si>
  <si>
    <t xml:space="preserve">TOURNAMENTS: Check-In &amp; Onsite Management</t>
  </si>
  <si>
    <t xml:space="preserve">TOTAL — INCLUDED SCOPE</t>
  </si>
  <si>
    <t xml:space="preserve">HOW TO BUILD A NEW CONFERENCE P&amp;L</t>
  </si>
  <si>
    <t xml:space="preserve">STEP 1 — INPUTS</t>
  </si>
  <si>
    <t xml:space="preserve">•  Event size: attendees, exhibitors, sponsors, speakers, vendors to source, site visits.</t>
  </si>
  <si>
    <t xml:space="preserve">•  Schedule: event days, set-up days, travel days, months of pre-planning.</t>
  </si>
  <si>
    <t xml:space="preserve">•  Staffing: how many managers and coordinators onsite, and how many in pre-planning.</t>
  </si>
  <si>
    <t xml:space="preserve">•  Rates are pre-set — manager $60/hr cost, coordinator $42/hr cost. Change only if the rate card changes.</t>
  </si>
  <si>
    <t xml:space="preserve">STEP 2 — SCOPE</t>
  </si>
  <si>
    <t xml:space="preserve">•  Every line matches the Master Proposal Template, sub-item by sub-item. Set INCLUDE? to Yes or No on each.</t>
  </si>
  <si>
    <t xml:space="preserve">•  Hours calculate automatically. Disagree with a line? Type your number into OVERRIDE HOURS — nothing else changes.</t>
  </si>
  <si>
    <t xml:space="preserve">STEP 3 — P&amp;L</t>
  </si>
  <si>
    <t xml:space="preserve">•  Nothing to type. Scope rolls up to the top-level proposal headings, so the P&amp;L reads the same way the proposal does.</t>
  </si>
  <si>
    <t xml:space="preserve">•  Watch HRS / PERSON / WEEK — above roughly 10 the headcount is too thin for the scope.</t>
  </si>
  <si>
    <t xml:space="preserve">THE EVENT SCALE INDEX</t>
  </si>
  <si>
    <t xml:space="preserve">•  Most scope lines are priced as a base weight multiplied by the Event Scale Index, shown on INPUTS. The index is:</t>
  </si>
  <si>
    <t xml:space="preserve">•          (attendees / 250) ^ 1/3   x   (planning months / 6) ^ 1/2   x   (event days / 3) ^ 1/4</t>
  </si>
  <si>
    <t xml:space="preserve">•  An index of 1.00 is a 250-person, 3-day event with 6 months of planning. The cube and square roots matter: doubling attendance raises the index about 26%, not 100%, which is how our hours have actually behaved. Straight percentage-of-attendees rules break down badly at 1,000+ people.</t>
  </si>
  <si>
    <t xml:space="preserve">•  Lines with a real count behind them skip the index and bill directly: exhibitors x 1 hr, sponsors x 1 hr, speakers x 1 hr, vendors x 5 hrs, site visits x 10 hrs. Weekly items — meetings, the project management system, approvals — bill 1 hour per planning week.</t>
  </si>
  <si>
    <t xml:space="preserve">HOW THE MONEY WORKS</t>
  </si>
  <si>
    <t xml:space="preserve">•  CLIENT COST = hours x client rate. Pre-planning: manager $90 / coordinator $65. Onsite: manager $100 / coordinator $65. Coordinator overtime bills at 1.5x.</t>
  </si>
  <si>
    <t xml:space="preserve">•  OUR COST = hours x our rate. Manager $60, coordinator $42, overtime 1.5x.</t>
  </si>
  <si>
    <t xml:space="preserve">•  STAFF OVERHEAD = $0.61 x every CTC staff hour, pre-planning and onsite. A cost to us, not billed, so it reduces margin.</t>
  </si>
  <si>
    <t xml:space="preserve">•  ADMIN FEE = 2% of the client subtotal, added to what the client pays. Nothing costs against it, so all of it is profit.</t>
  </si>
  <si>
    <t xml:space="preserve">•  MULTI-YEAR DISCOUNT = the 5% off additional years. Off by default — switch it on at the bottom of INPUTS section 7.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</si>
</sst>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#,##0.0;;\-"/>
    <numFmt numFmtId="170" formatCode="0.00"/>
    <numFmt numFmtId="171" formatCode="0.00\x"/>
    <numFmt numFmtId="172" formatCode="0.0%"/>
    <numFmt numFmtId="173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00"/>
      <name val="Poppins"/>
      <family val="0"/>
      <charset val="1"/>
    </font>
    <font>
      <i val="true"/>
      <sz val="10"/>
      <color rgb="FF595959"/>
      <name val="Barlow"/>
      <family val="0"/>
      <charset val="1"/>
    </font>
    <font>
      <b val="true"/>
      <sz val="12"/>
      <color rgb="FFFFFFFF"/>
      <name val="Poppins"/>
      <family val="0"/>
      <charset val="1"/>
    </font>
    <font>
      <b val="true"/>
      <sz val="12"/>
      <name val="Poppins"/>
      <family val="0"/>
      <charset val="1"/>
    </font>
    <font>
      <sz val="10"/>
      <name val="Barlow"/>
      <family val="0"/>
      <charset val="1"/>
    </font>
    <font>
      <b val="true"/>
      <sz val="12"/>
      <name val="Barlow"/>
      <family val="0"/>
      <charset val="1"/>
    </font>
    <font>
      <b val="true"/>
      <sz val="10"/>
      <name val="Poppins"/>
      <family val="0"/>
      <charset val="1"/>
    </font>
    <font>
      <b val="true"/>
      <sz val="10"/>
      <name val="Barlow"/>
      <family val="0"/>
      <charset val="1"/>
    </font>
    <font>
      <i val="true"/>
      <sz val="9"/>
      <color rgb="FF7F7F7F"/>
      <name val="Barlow"/>
      <family val="0"/>
      <charset val="1"/>
    </font>
    <font>
      <b val="true"/>
      <sz val="10"/>
      <color rgb="FF0000FF"/>
      <name val="Barl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C1E83"/>
        <bgColor rgb="FF993366"/>
      </patternFill>
    </fill>
    <fill>
      <patternFill patternType="solid">
        <fgColor rgb="FF6D9EEB"/>
        <bgColor rgb="FF99CCFF"/>
      </patternFill>
    </fill>
    <fill>
      <patternFill patternType="solid">
        <fgColor rgb="FFEAD1DC"/>
        <bgColor rgb="FFFFCC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404040"/>
      </top>
      <bottom style="double">
        <color rgb="FF404040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6D9EEB"/>
      <rgbColor rgb="FF9C1E83"/>
      <rgbColor rgb="FFFFF2CC"/>
      <rgbColor rgb="FFF2F2F2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6"/>
    <col collapsed="false" customWidth="true" hidden="false" outlineLevel="0" max="2" min="2" style="0" width="49.1"/>
    <col collapsed="false" customWidth="true" hidden="false" outlineLevel="0" max="3" min="3" style="0" width="14.4"/>
    <col collapsed="false" customWidth="true" hidden="false" outlineLevel="0" max="4" min="4" style="0" width="14.6"/>
    <col collapsed="false" customWidth="true" hidden="false" outlineLevel="0" max="5" min="5" style="0" width="15.4"/>
    <col collapsed="false" customWidth="true" hidden="false" outlineLevel="0" max="6" min="6" style="0" width="13"/>
    <col collapsed="false" customWidth="true" hidden="false" outlineLevel="0" max="7" min="7" style="0" width="12.4"/>
    <col collapsed="false" customWidth="true" hidden="false" outlineLevel="0" max="8" min="8" style="0" width="14.9"/>
    <col collapsed="false" customWidth="true" hidden="false" outlineLevel="0" max="9" min="9" style="0" width="13.2"/>
    <col collapsed="false" customWidth="true" hidden="false" outlineLevel="0" max="10" min="10" style="0" width="9.9"/>
  </cols>
  <sheetData>
    <row r="1" customFormat="false" ht="24" hidden="false" customHeight="true" outlineLevel="0" collapsed="false">
      <c r="B1" s="1" t="str">
        <f aca="false">INPUTS!C5</f>
        <v>New Conference 2027</v>
      </c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B2" s="2" t="str">
        <f aca="false">INPUTS!C6&amp;"   |   "&amp;INPUTS!C7&amp;"   |   "&amp;TEXT(INPUTS!C18,"0")&amp;" event days + "&amp;TEXT(INPUTS!C19,"0")&amp;" set-up   |   "&amp;TEXT(INPUTS!C22,"0")&amp;" months planning"</f>
        <v>April 6-8, 2027   |   Los Angeles, CA   |   3 event days + 1 set-up   |   9 months planning</v>
      </c>
    </row>
    <row r="4" customFormat="false" ht="19.5" hidden="false" customHeight="true" outlineLevel="0" collapsed="false">
      <c r="B4" s="3" t="s">
        <v>0</v>
      </c>
      <c r="C4" s="3"/>
      <c r="D4" s="3"/>
      <c r="E4" s="3"/>
      <c r="F4" s="3"/>
    </row>
    <row r="5" customFormat="false" ht="15" hidden="false" customHeight="false" outlineLevel="0" collapsed="false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customFormat="false" ht="15" hidden="false" customHeight="false" outlineLevel="0" collapsed="false">
      <c r="B6" s="5" t="str">
        <f aca="false">"Project Hours  ("&amp;TEXT(D43,"#,##0")&amp;")"</f>
        <v>Project Hours  (568)</v>
      </c>
      <c r="C6" s="6" t="n">
        <f aca="false">E43</f>
        <v>48830</v>
      </c>
      <c r="D6" s="6" t="n">
        <f aca="false">H43</f>
        <v>32244</v>
      </c>
      <c r="E6" s="6" t="n">
        <f aca="false">C6-D6</f>
        <v>16586</v>
      </c>
      <c r="F6" s="7" t="n">
        <f aca="false">IF(C6=0,"",E6/C6)</f>
        <v>0.339668236739709</v>
      </c>
    </row>
    <row r="7" customFormat="false" ht="15" hidden="false" customHeight="false" outlineLevel="0" collapsed="false">
      <c r="B7" s="5" t="str">
        <f aca="false">"Onsite Management  ("&amp;TEXT(D68,"#,##0")&amp;")"</f>
        <v>Onsite Management  (224)</v>
      </c>
      <c r="C7" s="6" t="n">
        <f aca="false">E68</f>
        <v>20120</v>
      </c>
      <c r="D7" s="6" t="n">
        <f aca="false">H68</f>
        <v>12336</v>
      </c>
      <c r="E7" s="6" t="n">
        <f aca="false">C7-D7</f>
        <v>7784</v>
      </c>
      <c r="F7" s="7" t="n">
        <f aca="false">IF(C7=0,"",E7/C7)</f>
        <v>0.386878727634195</v>
      </c>
    </row>
    <row r="8" customFormat="false" ht="15" hidden="false" customHeight="false" outlineLevel="0" collapsed="false">
      <c r="B8" s="5" t="str">
        <f aca="false">"Staff Overhead  ("&amp;TEXT(INPUTS!$C$48,"$0.00")&amp;" / staff hour)"</f>
        <v>Staff Overhead  ($0.61 / staff hour)</v>
      </c>
      <c r="C8" s="6" t="n">
        <v>0</v>
      </c>
      <c r="D8" s="6" t="n">
        <f aca="false">E74</f>
        <v>483.12</v>
      </c>
      <c r="E8" s="6" t="n">
        <f aca="false">C8-D8</f>
        <v>-483.12</v>
      </c>
      <c r="F8" s="7" t="str">
        <f aca="false">IF(C8=0,"",E8/C8)</f>
        <v/>
      </c>
    </row>
    <row r="9" customFormat="false" ht="15" hidden="false" customHeight="false" outlineLevel="0" collapsed="false">
      <c r="B9" s="8" t="s">
        <v>6</v>
      </c>
      <c r="C9" s="9" t="n">
        <f aca="false">SUM(C6:C8)</f>
        <v>68950</v>
      </c>
      <c r="D9" s="9" t="n">
        <f aca="false">SUM(D6:D8)</f>
        <v>45063.12</v>
      </c>
      <c r="E9" s="9" t="n">
        <f aca="false">SUM(E6:E8)</f>
        <v>23886.88</v>
      </c>
      <c r="F9" s="10" t="n">
        <f aca="false">IF(C9=0,"",E9/C9)</f>
        <v>0.346437708484409</v>
      </c>
    </row>
    <row r="10" customFormat="false" ht="15" hidden="false" customHeight="false" outlineLevel="0" collapsed="false">
      <c r="B10" s="5" t="str">
        <f aca="false">"Admin Fee  ("&amp;TEXT(INPUTS!$C$49,"0.0%")&amp;")"</f>
        <v>Admin Fee  (2.0%)</v>
      </c>
      <c r="C10" s="6" t="n">
        <f aca="false">C9*INPUTS!$C$49</f>
        <v>1379</v>
      </c>
      <c r="D10" s="6" t="n">
        <v>0</v>
      </c>
      <c r="E10" s="6" t="n">
        <f aca="false">C10-D10</f>
        <v>1379</v>
      </c>
      <c r="F10" s="7"/>
    </row>
    <row r="11" customFormat="false" ht="15" hidden="false" customHeight="false" outlineLevel="0" collapsed="false">
      <c r="B11" s="5" t="str">
        <f aca="false">"Less Multi-Year Discount  ("&amp;TEXT(INPUTS!$C$50,"0.0%")&amp;")"</f>
        <v>Less Multi-Year Discount  (5.0%)</v>
      </c>
      <c r="C11" s="6" t="n">
        <f aca="false">-IF(INPUTS!$C$51="Yes",(C9+C10)*INPUTS!$C$50,0)</f>
        <v>-0</v>
      </c>
      <c r="D11" s="6" t="n">
        <v>0</v>
      </c>
      <c r="E11" s="6" t="n">
        <f aca="false">C11-D11</f>
        <v>-0</v>
      </c>
      <c r="F11" s="7"/>
    </row>
    <row r="12" customFormat="false" ht="15" hidden="false" customHeight="false" outlineLevel="0" collapsed="false">
      <c r="B12" s="11" t="s">
        <v>7</v>
      </c>
      <c r="C12" s="12" t="n">
        <f aca="false">SUM(C9:C11)</f>
        <v>70329</v>
      </c>
      <c r="D12" s="12" t="n">
        <f aca="false">SUM(D9:D11)</f>
        <v>45063.12</v>
      </c>
      <c r="E12" s="12" t="n">
        <f aca="false">SUM(E9:E11)</f>
        <v>25265.88</v>
      </c>
      <c r="F12" s="13" t="n">
        <f aca="false">IF(C12=0,"",E12/C12)</f>
        <v>0.359252655376872</v>
      </c>
    </row>
    <row r="14" customFormat="false" ht="19.5" hidden="false" customHeight="true" outlineLevel="0" collapsed="false">
      <c r="B14" s="3" t="s">
        <v>8</v>
      </c>
      <c r="C14" s="3"/>
      <c r="D14" s="3"/>
      <c r="E14" s="3"/>
      <c r="F14" s="3"/>
      <c r="G14" s="3"/>
    </row>
    <row r="15" customFormat="false" ht="30" hidden="false" customHeight="true" outlineLevel="0" collapsed="false">
      <c r="B15" s="14" t="s">
        <v>9</v>
      </c>
      <c r="C15" s="14" t="s">
        <v>10</v>
      </c>
      <c r="D15" s="14" t="s">
        <v>11</v>
      </c>
      <c r="E15" s="14" t="s">
        <v>3</v>
      </c>
      <c r="F15" s="14" t="s">
        <v>12</v>
      </c>
      <c r="G15" s="14" t="s">
        <v>13</v>
      </c>
    </row>
    <row r="16" customFormat="false" ht="15" hidden="false" customHeight="false" outlineLevel="0" collapsed="false">
      <c r="B16" s="5" t="s">
        <v>14</v>
      </c>
      <c r="C16" s="15" t="n">
        <f aca="false">SUMIFS(SCOPE!$I$4:$I$59,SCOPE!$D$4:$D$59,"Manager",SCOPE!$E$4:$E$59,"Yes")</f>
        <v>336</v>
      </c>
      <c r="D16" s="16" t="n">
        <f aca="false">INPUTS!$C$33</f>
        <v>60</v>
      </c>
      <c r="E16" s="6" t="n">
        <f aca="false">C16*D16</f>
        <v>20160</v>
      </c>
      <c r="F16" s="15" t="n">
        <f aca="false">INPUTS!$C$29</f>
        <v>1</v>
      </c>
      <c r="G16" s="17" t="n">
        <f aca="false">IF(OR(F16=0,INPUTS!$C$23=0),"",C16/F16/INPUTS!$C$23)</f>
        <v>8.61538461538462</v>
      </c>
    </row>
    <row r="17" customFormat="false" ht="15" hidden="false" customHeight="false" outlineLevel="0" collapsed="false">
      <c r="B17" s="5" t="s">
        <v>15</v>
      </c>
      <c r="C17" s="15" t="n">
        <f aca="false">SUMIFS(SCOPE!$I$4:$I$59,SCOPE!$D$4:$D$59,"Coordinator",SCOPE!$E$4:$E$59,"Yes")</f>
        <v>193</v>
      </c>
      <c r="D17" s="16" t="n">
        <f aca="false">INPUTS!$C$34</f>
        <v>42</v>
      </c>
      <c r="E17" s="6" t="n">
        <f aca="false">C17*D17</f>
        <v>8106</v>
      </c>
      <c r="F17" s="15" t="n">
        <f aca="false">INPUTS!$C$30</f>
        <v>1</v>
      </c>
      <c r="G17" s="17" t="n">
        <f aca="false">IF(OR(F17=0,INPUTS!$C$23=0),"",C17/F17/INPUTS!$C$23)</f>
        <v>4.94871794871795</v>
      </c>
    </row>
    <row r="18" customFormat="false" ht="15" hidden="false" customHeight="false" outlineLevel="0" collapsed="false">
      <c r="B18" s="5" t="s">
        <v>16</v>
      </c>
      <c r="C18" s="15" t="n">
        <f aca="false">SUMIFS(SCOPE!$I$4:$I$59,SCOPE!$D$4:$D$59,"Team",SCOPE!$E$4:$E$59,"Yes")</f>
        <v>39</v>
      </c>
      <c r="D18" s="16" t="n">
        <f aca="false">INPUTS!$C$29*INPUTS!$C$33+INPUTS!$C$30*INPUTS!$C$34</f>
        <v>102</v>
      </c>
      <c r="E18" s="6" t="n">
        <f aca="false">C18*D18</f>
        <v>3978</v>
      </c>
      <c r="F18" s="15" t="n">
        <f aca="false">INPUTS!$C$29+INPUTS!$C$30</f>
        <v>2</v>
      </c>
      <c r="G18" s="17" t="n">
        <f aca="false">IF(INPUTS!$C$23=0,"",C18/INPUTS!$C$23)</f>
        <v>1</v>
      </c>
    </row>
    <row r="19" customFormat="false" ht="15" hidden="false" customHeight="false" outlineLevel="0" collapsed="false">
      <c r="B19" s="18" t="s">
        <v>17</v>
      </c>
      <c r="C19" s="19" t="n">
        <f aca="false">SUM(C16:C18)</f>
        <v>568</v>
      </c>
      <c r="D19" s="20"/>
      <c r="E19" s="21" t="n">
        <f aca="false">SUM(E16:E18)</f>
        <v>32244</v>
      </c>
      <c r="F19" s="19" t="n">
        <f aca="false">INPUTS!$C$29+INPUTS!$C$30</f>
        <v>2</v>
      </c>
      <c r="G19" s="22"/>
    </row>
    <row r="20" customFormat="false" ht="15" hidden="false" customHeight="false" outlineLevel="0" collapsed="false">
      <c r="B20" s="23" t="s">
        <v>18</v>
      </c>
    </row>
    <row r="21" customFormat="false" ht="19.5" hidden="false" customHeight="true" outlineLevel="0" collapsed="false">
      <c r="B21" s="3" t="s">
        <v>19</v>
      </c>
      <c r="C21" s="3"/>
      <c r="D21" s="3"/>
      <c r="E21" s="3"/>
      <c r="F21" s="3"/>
      <c r="G21" s="3"/>
      <c r="H21" s="3"/>
      <c r="I21" s="3"/>
      <c r="J21" s="3"/>
    </row>
    <row r="22" customFormat="false" ht="27.75" hidden="false" customHeight="true" outlineLevel="0" collapsed="false">
      <c r="B22" s="14" t="s">
        <v>20</v>
      </c>
      <c r="C22" s="14" t="s">
        <v>21</v>
      </c>
      <c r="D22" s="14" t="s">
        <v>10</v>
      </c>
      <c r="E22" s="14" t="s">
        <v>2</v>
      </c>
      <c r="F22" s="14" t="s">
        <v>22</v>
      </c>
      <c r="G22" s="14" t="s">
        <v>10</v>
      </c>
      <c r="H22" s="14" t="s">
        <v>3</v>
      </c>
      <c r="I22" s="14" t="s">
        <v>4</v>
      </c>
      <c r="J22" s="14" t="s">
        <v>5</v>
      </c>
    </row>
    <row r="23" customFormat="false" ht="15" hidden="false" customHeight="false" outlineLevel="0" collapsed="false">
      <c r="A23" s="24" t="str">
        <f aca="false">IFERROR(INDEX(SCOPE!$U$4:$U$23,MATCH(1,SCOPE!$T$4:$T$23,0)),"")</f>
        <v>PM/EC</v>
      </c>
      <c r="B23" s="25" t="str">
        <f aca="false">IFERROR(INDEX(SCOPE!$P$4:$P$23,MATCH(1,SCOPE!$T$4:$T$23,0)),"")</f>
        <v>PLANNING, TIMELINE &amp; COMMUNICATIONS</v>
      </c>
      <c r="C23" s="26" t="n">
        <f aca="false">IF(OR(B23="",D23=0),"",E23/D23)</f>
        <v>102.48</v>
      </c>
      <c r="D23" s="27" t="n">
        <f aca="false">IFERROR(INDEX(SCOPE!$Q$4:$Q$23,MATCH(1,SCOPE!$T$4:$T$23,0)),"")</f>
        <v>125</v>
      </c>
      <c r="E23" s="28" t="n">
        <f aca="false">IFERROR(INDEX(SCOPE!$R$4:$R$23,MATCH(1,SCOPE!$T$4:$T$23,0)),"")</f>
        <v>12810</v>
      </c>
      <c r="F23" s="26" t="n">
        <f aca="false">IF(OR(B23="",G23=0),"",H23/G23)</f>
        <v>67.488</v>
      </c>
      <c r="G23" s="27" t="n">
        <f aca="false">IF(B23="","",D23)</f>
        <v>125</v>
      </c>
      <c r="H23" s="28" t="n">
        <f aca="false">IFERROR(INDEX(SCOPE!$S$4:$S$23,MATCH(1,SCOPE!$T$4:$T$23,0)),"")</f>
        <v>8436</v>
      </c>
      <c r="I23" s="28" t="n">
        <f aca="false">IF(B23="","",E23-H23)</f>
        <v>4374</v>
      </c>
      <c r="J23" s="29" t="n">
        <f aca="false">IF(OR(B23="",E23=0),"",I23/E23)</f>
        <v>0.341451990632319</v>
      </c>
    </row>
    <row r="24" customFormat="false" ht="15" hidden="false" customHeight="false" outlineLevel="0" collapsed="false">
      <c r="A24" s="24" t="str">
        <f aca="false">IFERROR(INDEX(SCOPE!$U$4:$U$23,MATCH(2,SCOPE!$T$4:$T$23,0)),"")</f>
        <v>PM</v>
      </c>
      <c r="B24" s="25" t="str">
        <f aca="false">IFERROR(INDEX(SCOPE!$P$4:$P$23,MATCH(2,SCOPE!$T$4:$T$23,0)),"")</f>
        <v>VENUE MANAGEMENT</v>
      </c>
      <c r="C24" s="26" t="n">
        <f aca="false">IF(OR(B24="",D24=0),"",E24/D24)</f>
        <v>90</v>
      </c>
      <c r="D24" s="27" t="n">
        <f aca="false">IFERROR(INDEX(SCOPE!$Q$4:$Q$23,MATCH(2,SCOPE!$T$4:$T$23,0)),"")</f>
        <v>40</v>
      </c>
      <c r="E24" s="28" t="n">
        <f aca="false">IFERROR(INDEX(SCOPE!$R$4:$R$23,MATCH(2,SCOPE!$T$4:$T$23,0)),"")</f>
        <v>3600</v>
      </c>
      <c r="F24" s="26" t="n">
        <f aca="false">IF(OR(B24="",G24=0),"",H24/G24)</f>
        <v>60</v>
      </c>
      <c r="G24" s="27" t="n">
        <f aca="false">IF(B24="","",D24)</f>
        <v>40</v>
      </c>
      <c r="H24" s="28" t="n">
        <f aca="false">IFERROR(INDEX(SCOPE!$S$4:$S$23,MATCH(2,SCOPE!$T$4:$T$23,0)),"")</f>
        <v>2400</v>
      </c>
      <c r="I24" s="28" t="n">
        <f aca="false">IF(B24="","",E24-H24)</f>
        <v>1200</v>
      </c>
      <c r="J24" s="29" t="n">
        <f aca="false">IF(OR(B24="",E24=0),"",I24/E24)</f>
        <v>0.333333333333333</v>
      </c>
    </row>
    <row r="25" customFormat="false" ht="15" hidden="false" customHeight="false" outlineLevel="0" collapsed="false">
      <c r="A25" s="24" t="str">
        <f aca="false">IFERROR(INDEX(SCOPE!$U$4:$U$23,MATCH(3,SCOPE!$T$4:$T$23,0)),"")</f>
        <v>PM</v>
      </c>
      <c r="B25" s="25" t="str">
        <f aca="false">IFERROR(INDEX(SCOPE!$P$4:$P$23,MATCH(3,SCOPE!$T$4:$T$23,0)),"")</f>
        <v>EVENT BRANDING</v>
      </c>
      <c r="C25" s="26" t="n">
        <f aca="false">IF(OR(B25="",D25=0),"",E25/D25)</f>
        <v>90</v>
      </c>
      <c r="D25" s="27" t="n">
        <f aca="false">IFERROR(INDEX(SCOPE!$Q$4:$Q$23,MATCH(3,SCOPE!$T$4:$T$23,0)),"")</f>
        <v>45</v>
      </c>
      <c r="E25" s="28" t="n">
        <f aca="false">IFERROR(INDEX(SCOPE!$R$4:$R$23,MATCH(3,SCOPE!$T$4:$T$23,0)),"")</f>
        <v>4050</v>
      </c>
      <c r="F25" s="26" t="n">
        <f aca="false">IF(OR(B25="",G25=0),"",H25/G25)</f>
        <v>60</v>
      </c>
      <c r="G25" s="27" t="n">
        <f aca="false">IF(B25="","",D25)</f>
        <v>45</v>
      </c>
      <c r="H25" s="28" t="n">
        <f aca="false">IFERROR(INDEX(SCOPE!$S$4:$S$23,MATCH(3,SCOPE!$T$4:$T$23,0)),"")</f>
        <v>2700</v>
      </c>
      <c r="I25" s="28" t="n">
        <f aca="false">IF(B25="","",E25-H25)</f>
        <v>1350</v>
      </c>
      <c r="J25" s="29" t="n">
        <f aca="false">IF(OR(B25="",E25=0),"",I25/E25)</f>
        <v>0.333333333333333</v>
      </c>
    </row>
    <row r="26" customFormat="false" ht="15" hidden="false" customHeight="false" outlineLevel="0" collapsed="false">
      <c r="A26" s="24" t="str">
        <f aca="false">IFERROR(INDEX(SCOPE!$U$4:$U$23,MATCH(4,SCOPE!$T$4:$T$23,0)),"")</f>
        <v>PM</v>
      </c>
      <c r="B26" s="25" t="str">
        <f aca="false">IFERROR(INDEX(SCOPE!$P$4:$P$23,MATCH(4,SCOPE!$T$4:$T$23,0)),"")</f>
        <v>FOOD &amp; BEVERAGE</v>
      </c>
      <c r="C26" s="26" t="n">
        <f aca="false">IF(OR(B26="",D26=0),"",E26/D26)</f>
        <v>90</v>
      </c>
      <c r="D26" s="27" t="n">
        <f aca="false">IFERROR(INDEX(SCOPE!$Q$4:$Q$23,MATCH(4,SCOPE!$T$4:$T$23,0)),"")</f>
        <v>34</v>
      </c>
      <c r="E26" s="28" t="n">
        <f aca="false">IFERROR(INDEX(SCOPE!$R$4:$R$23,MATCH(4,SCOPE!$T$4:$T$23,0)),"")</f>
        <v>3060</v>
      </c>
      <c r="F26" s="26" t="n">
        <f aca="false">IF(OR(B26="",G26=0),"",H26/G26)</f>
        <v>60</v>
      </c>
      <c r="G26" s="27" t="n">
        <f aca="false">IF(B26="","",D26)</f>
        <v>34</v>
      </c>
      <c r="H26" s="28" t="n">
        <f aca="false">IFERROR(INDEX(SCOPE!$S$4:$S$23,MATCH(4,SCOPE!$T$4:$T$23,0)),"")</f>
        <v>2040</v>
      </c>
      <c r="I26" s="28" t="n">
        <f aca="false">IF(B26="","",E26-H26)</f>
        <v>1020</v>
      </c>
      <c r="J26" s="29" t="n">
        <f aca="false">IF(OR(B26="",E26=0),"",I26/E26)</f>
        <v>0.333333333333333</v>
      </c>
    </row>
    <row r="27" customFormat="false" ht="15" hidden="false" customHeight="false" outlineLevel="0" collapsed="false">
      <c r="A27" s="24" t="str">
        <f aca="false">IFERROR(INDEX(SCOPE!$U$4:$U$23,MATCH(5,SCOPE!$T$4:$T$23,0)),"")</f>
        <v>EC</v>
      </c>
      <c r="B27" s="25" t="str">
        <f aca="false">IFERROR(INDEX(SCOPE!$P$4:$P$23,MATCH(5,SCOPE!$T$4:$T$23,0)),"")</f>
        <v>REGISTRATION</v>
      </c>
      <c r="C27" s="26" t="n">
        <f aca="false">IF(OR(B27="",D27=0),"",E27/D27)</f>
        <v>65</v>
      </c>
      <c r="D27" s="27" t="n">
        <f aca="false">IFERROR(INDEX(SCOPE!$Q$4:$Q$23,MATCH(5,SCOPE!$T$4:$T$23,0)),"")</f>
        <v>82</v>
      </c>
      <c r="E27" s="28" t="n">
        <f aca="false">IFERROR(INDEX(SCOPE!$R$4:$R$23,MATCH(5,SCOPE!$T$4:$T$23,0)),"")</f>
        <v>5330</v>
      </c>
      <c r="F27" s="26" t="n">
        <f aca="false">IF(OR(B27="",G27=0),"",H27/G27)</f>
        <v>42</v>
      </c>
      <c r="G27" s="27" t="n">
        <f aca="false">IF(B27="","",D27)</f>
        <v>82</v>
      </c>
      <c r="H27" s="28" t="n">
        <f aca="false">IFERROR(INDEX(SCOPE!$S$4:$S$23,MATCH(5,SCOPE!$T$4:$T$23,0)),"")</f>
        <v>3444</v>
      </c>
      <c r="I27" s="28" t="n">
        <f aca="false">IF(B27="","",E27-H27)</f>
        <v>1886</v>
      </c>
      <c r="J27" s="29" t="n">
        <f aca="false">IF(OR(B27="",E27=0),"",I27/E27)</f>
        <v>0.353846153846154</v>
      </c>
    </row>
    <row r="28" customFormat="false" ht="15" hidden="false" customHeight="false" outlineLevel="0" collapsed="false">
      <c r="A28" s="24" t="str">
        <f aca="false">IFERROR(INDEX(SCOPE!$U$4:$U$23,MATCH(6,SCOPE!$T$4:$T$23,0)),"")</f>
        <v>EC</v>
      </c>
      <c r="B28" s="25" t="str">
        <f aca="false">IFERROR(INDEX(SCOPE!$P$4:$P$23,MATCH(6,SCOPE!$T$4:$T$23,0)),"")</f>
        <v>THIRD PARTY VENDORS</v>
      </c>
      <c r="C28" s="26" t="n">
        <f aca="false">IF(OR(B28="",D28=0),"",E28/D28)</f>
        <v>65</v>
      </c>
      <c r="D28" s="27" t="n">
        <f aca="false">IFERROR(INDEX(SCOPE!$Q$4:$Q$23,MATCH(6,SCOPE!$T$4:$T$23,0)),"")</f>
        <v>40</v>
      </c>
      <c r="E28" s="28" t="n">
        <f aca="false">IFERROR(INDEX(SCOPE!$R$4:$R$23,MATCH(6,SCOPE!$T$4:$T$23,0)),"")</f>
        <v>2600</v>
      </c>
      <c r="F28" s="26" t="n">
        <f aca="false">IF(OR(B28="",G28=0),"",H28/G28)</f>
        <v>42</v>
      </c>
      <c r="G28" s="27" t="n">
        <f aca="false">IF(B28="","",D28)</f>
        <v>40</v>
      </c>
      <c r="H28" s="28" t="n">
        <f aca="false">IFERROR(INDEX(SCOPE!$S$4:$S$23,MATCH(6,SCOPE!$T$4:$T$23,0)),"")</f>
        <v>1680</v>
      </c>
      <c r="I28" s="28" t="n">
        <f aca="false">IF(B28="","",E28-H28)</f>
        <v>920</v>
      </c>
      <c r="J28" s="29" t="n">
        <f aca="false">IF(OR(B28="",E28=0),"",I28/E28)</f>
        <v>0.353846153846154</v>
      </c>
    </row>
    <row r="29" customFormat="false" ht="15" hidden="false" customHeight="false" outlineLevel="0" collapsed="false">
      <c r="A29" s="24" t="str">
        <f aca="false">IFERROR(INDEX(SCOPE!$U$4:$U$23,MATCH(7,SCOPE!$T$4:$T$23,0)),"")</f>
        <v>PM</v>
      </c>
      <c r="B29" s="25" t="str">
        <f aca="false">IFERROR(INDEX(SCOPE!$P$4:$P$23,MATCH(7,SCOPE!$T$4:$T$23,0)),"")</f>
        <v>STAFF MANAGEMENT</v>
      </c>
      <c r="C29" s="26" t="n">
        <f aca="false">IF(OR(B29="",D29=0),"",E29/D29)</f>
        <v>90</v>
      </c>
      <c r="D29" s="27" t="n">
        <f aca="false">IFERROR(INDEX(SCOPE!$Q$4:$Q$23,MATCH(7,SCOPE!$T$4:$T$23,0)),"")</f>
        <v>14</v>
      </c>
      <c r="E29" s="28" t="n">
        <f aca="false">IFERROR(INDEX(SCOPE!$R$4:$R$23,MATCH(7,SCOPE!$T$4:$T$23,0)),"")</f>
        <v>1260</v>
      </c>
      <c r="F29" s="26" t="n">
        <f aca="false">IF(OR(B29="",G29=0),"",H29/G29)</f>
        <v>60</v>
      </c>
      <c r="G29" s="27" t="n">
        <f aca="false">IF(B29="","",D29)</f>
        <v>14</v>
      </c>
      <c r="H29" s="28" t="n">
        <f aca="false">IFERROR(INDEX(SCOPE!$S$4:$S$23,MATCH(7,SCOPE!$T$4:$T$23,0)),"")</f>
        <v>840</v>
      </c>
      <c r="I29" s="28" t="n">
        <f aca="false">IF(B29="","",E29-H29)</f>
        <v>420</v>
      </c>
      <c r="J29" s="29" t="n">
        <f aca="false">IF(OR(B29="",E29=0),"",I29/E29)</f>
        <v>0.333333333333333</v>
      </c>
    </row>
    <row r="30" customFormat="false" ht="15" hidden="false" customHeight="false" outlineLevel="0" collapsed="false">
      <c r="A30" s="24" t="str">
        <f aca="false">IFERROR(INDEX(SCOPE!$U$4:$U$23,MATCH(8,SCOPE!$T$4:$T$23,0)),"")</f>
        <v>EC</v>
      </c>
      <c r="B30" s="25" t="str">
        <f aca="false">IFERROR(INDEX(SCOPE!$P$4:$P$23,MATCH(8,SCOPE!$T$4:$T$23,0)),"")</f>
        <v>SPONSORSHIPS</v>
      </c>
      <c r="C30" s="26" t="n">
        <f aca="false">IF(OR(B30="",D30=0),"",E30/D30)</f>
        <v>65</v>
      </c>
      <c r="D30" s="27" t="n">
        <f aca="false">IFERROR(INDEX(SCOPE!$Q$4:$Q$23,MATCH(8,SCOPE!$T$4:$T$23,0)),"")</f>
        <v>32</v>
      </c>
      <c r="E30" s="28" t="n">
        <f aca="false">IFERROR(INDEX(SCOPE!$R$4:$R$23,MATCH(8,SCOPE!$T$4:$T$23,0)),"")</f>
        <v>2080</v>
      </c>
      <c r="F30" s="26" t="n">
        <f aca="false">IF(OR(B30="",G30=0),"",H30/G30)</f>
        <v>42</v>
      </c>
      <c r="G30" s="27" t="n">
        <f aca="false">IF(B30="","",D30)</f>
        <v>32</v>
      </c>
      <c r="H30" s="28" t="n">
        <f aca="false">IFERROR(INDEX(SCOPE!$S$4:$S$23,MATCH(8,SCOPE!$T$4:$T$23,0)),"")</f>
        <v>1344</v>
      </c>
      <c r="I30" s="28" t="n">
        <f aca="false">IF(B30="","",E30-H30)</f>
        <v>736</v>
      </c>
      <c r="J30" s="29" t="n">
        <f aca="false">IF(OR(B30="",E30=0),"",I30/E30)</f>
        <v>0.353846153846154</v>
      </c>
    </row>
    <row r="31" customFormat="false" ht="15" hidden="false" customHeight="false" outlineLevel="0" collapsed="false">
      <c r="A31" s="24" t="str">
        <f aca="false">IFERROR(INDEX(SCOPE!$U$4:$U$23,MATCH(9,SCOPE!$T$4:$T$23,0)),"")</f>
        <v>PM</v>
      </c>
      <c r="B31" s="25" t="str">
        <f aca="false">IFERROR(INDEX(SCOPE!$P$4:$P$23,MATCH(9,SCOPE!$T$4:$T$23,0)),"")</f>
        <v>PROGRAMMING</v>
      </c>
      <c r="C31" s="26" t="n">
        <f aca="false">IF(OR(B31="",D31=0),"",E31/D31)</f>
        <v>90</v>
      </c>
      <c r="D31" s="27" t="n">
        <f aca="false">IFERROR(INDEX(SCOPE!$Q$4:$Q$23,MATCH(9,SCOPE!$T$4:$T$23,0)),"")</f>
        <v>63</v>
      </c>
      <c r="E31" s="28" t="n">
        <f aca="false">IFERROR(INDEX(SCOPE!$R$4:$R$23,MATCH(9,SCOPE!$T$4:$T$23,0)),"")</f>
        <v>5670</v>
      </c>
      <c r="F31" s="26" t="n">
        <f aca="false">IF(OR(B31="",G31=0),"",H31/G31)</f>
        <v>60</v>
      </c>
      <c r="G31" s="27" t="n">
        <f aca="false">IF(B31="","",D31)</f>
        <v>63</v>
      </c>
      <c r="H31" s="28" t="n">
        <f aca="false">IFERROR(INDEX(SCOPE!$S$4:$S$23,MATCH(9,SCOPE!$T$4:$T$23,0)),"")</f>
        <v>3780</v>
      </c>
      <c r="I31" s="28" t="n">
        <f aca="false">IF(B31="","",E31-H31)</f>
        <v>1890</v>
      </c>
      <c r="J31" s="29" t="n">
        <f aca="false">IF(OR(B31="",E31=0),"",I31/E31)</f>
        <v>0.333333333333333</v>
      </c>
    </row>
    <row r="32" customFormat="false" ht="15" hidden="false" customHeight="false" outlineLevel="0" collapsed="false">
      <c r="A32" s="24" t="str">
        <f aca="false">IFERROR(INDEX(SCOPE!$U$4:$U$23,MATCH(10,SCOPE!$T$4:$T$23,0)),"")</f>
        <v>PM</v>
      </c>
      <c r="B32" s="25" t="str">
        <f aca="false">IFERROR(INDEX(SCOPE!$P$4:$P$23,MATCH(10,SCOPE!$T$4:$T$23,0)),"")</f>
        <v>FINANCIAL MANAGEMENT</v>
      </c>
      <c r="C32" s="26" t="n">
        <f aca="false">IF(OR(B32="",D32=0),"",E32/D32)</f>
        <v>90</v>
      </c>
      <c r="D32" s="27" t="n">
        <f aca="false">IFERROR(INDEX(SCOPE!$Q$4:$Q$23,MATCH(10,SCOPE!$T$4:$T$23,0)),"")</f>
        <v>18</v>
      </c>
      <c r="E32" s="28" t="n">
        <f aca="false">IFERROR(INDEX(SCOPE!$R$4:$R$23,MATCH(10,SCOPE!$T$4:$T$23,0)),"")</f>
        <v>1620</v>
      </c>
      <c r="F32" s="26" t="n">
        <f aca="false">IF(OR(B32="",G32=0),"",H32/G32)</f>
        <v>60</v>
      </c>
      <c r="G32" s="27" t="n">
        <f aca="false">IF(B32="","",D32)</f>
        <v>18</v>
      </c>
      <c r="H32" s="28" t="n">
        <f aca="false">IFERROR(INDEX(SCOPE!$S$4:$S$23,MATCH(10,SCOPE!$T$4:$T$23,0)),"")</f>
        <v>1080</v>
      </c>
      <c r="I32" s="28" t="n">
        <f aca="false">IF(B32="","",E32-H32)</f>
        <v>540</v>
      </c>
      <c r="J32" s="29" t="n">
        <f aca="false">IF(OR(B32="",E32=0),"",I32/E32)</f>
        <v>0.333333333333333</v>
      </c>
    </row>
    <row r="33" customFormat="false" ht="15" hidden="false" customHeight="false" outlineLevel="0" collapsed="false">
      <c r="A33" s="24" t="str">
        <f aca="false">IFERROR(INDEX(SCOPE!$U$4:$U$23,MATCH(11,SCOPE!$T$4:$T$23,0)),"")</f>
        <v>PM</v>
      </c>
      <c r="B33" s="25" t="str">
        <f aca="false">IFERROR(INDEX(SCOPE!$P$4:$P$23,MATCH(11,SCOPE!$T$4:$T$23,0)),"")</f>
        <v>EXHIBIT MANAGEMENT</v>
      </c>
      <c r="C33" s="26" t="n">
        <f aca="false">IF(OR(B33="",D33=0),"",E33/D33)</f>
        <v>90</v>
      </c>
      <c r="D33" s="27" t="n">
        <f aca="false">IFERROR(INDEX(SCOPE!$Q$4:$Q$23,MATCH(11,SCOPE!$T$4:$T$23,0)),"")</f>
        <v>60</v>
      </c>
      <c r="E33" s="28" t="n">
        <f aca="false">IFERROR(INDEX(SCOPE!$R$4:$R$23,MATCH(11,SCOPE!$T$4:$T$23,0)),"")</f>
        <v>5400</v>
      </c>
      <c r="F33" s="26" t="n">
        <f aca="false">IF(OR(B33="",G33=0),"",H33/G33)</f>
        <v>60</v>
      </c>
      <c r="G33" s="27" t="n">
        <f aca="false">IF(B33="","",D33)</f>
        <v>60</v>
      </c>
      <c r="H33" s="28" t="n">
        <f aca="false">IFERROR(INDEX(SCOPE!$S$4:$S$23,MATCH(11,SCOPE!$T$4:$T$23,0)),"")</f>
        <v>3600</v>
      </c>
      <c r="I33" s="28" t="n">
        <f aca="false">IF(B33="","",E33-H33)</f>
        <v>1800</v>
      </c>
      <c r="J33" s="29" t="n">
        <f aca="false">IF(OR(B33="",E33=0),"",I33/E33)</f>
        <v>0.333333333333333</v>
      </c>
    </row>
    <row r="34" customFormat="false" ht="15" hidden="false" customHeight="false" outlineLevel="0" collapsed="false">
      <c r="A34" s="24" t="str">
        <f aca="false">IFERROR(INDEX(SCOPE!$U$4:$U$23,MATCH(12,SCOPE!$T$4:$T$23,0)),"")</f>
        <v>PM</v>
      </c>
      <c r="B34" s="25" t="str">
        <f aca="false">IFERROR(INDEX(SCOPE!$P$4:$P$23,MATCH(12,SCOPE!$T$4:$T$23,0)),"")</f>
        <v>POST-EVENT</v>
      </c>
      <c r="C34" s="26" t="n">
        <f aca="false">IF(OR(B34="",D34=0),"",E34/D34)</f>
        <v>90</v>
      </c>
      <c r="D34" s="27" t="n">
        <f aca="false">IFERROR(INDEX(SCOPE!$Q$4:$Q$23,MATCH(12,SCOPE!$T$4:$T$23,0)),"")</f>
        <v>15</v>
      </c>
      <c r="E34" s="28" t="n">
        <f aca="false">IFERROR(INDEX(SCOPE!$R$4:$R$23,MATCH(12,SCOPE!$T$4:$T$23,0)),"")</f>
        <v>1350</v>
      </c>
      <c r="F34" s="26" t="n">
        <f aca="false">IF(OR(B34="",G34=0),"",H34/G34)</f>
        <v>60</v>
      </c>
      <c r="G34" s="27" t="n">
        <f aca="false">IF(B34="","",D34)</f>
        <v>15</v>
      </c>
      <c r="H34" s="28" t="n">
        <f aca="false">IFERROR(INDEX(SCOPE!$S$4:$S$23,MATCH(12,SCOPE!$T$4:$T$23,0)),"")</f>
        <v>900</v>
      </c>
      <c r="I34" s="28" t="n">
        <f aca="false">IF(B34="","",E34-H34)</f>
        <v>450</v>
      </c>
      <c r="J34" s="29" t="n">
        <f aca="false">IF(OR(B34="",E34=0),"",I34/E34)</f>
        <v>0.333333333333333</v>
      </c>
    </row>
    <row r="35" customFormat="false" ht="15" hidden="false" customHeight="false" outlineLevel="0" collapsed="false">
      <c r="A35" s="24" t="str">
        <f aca="false">IFERROR(INDEX(SCOPE!$U$4:$U$23,MATCH(13,SCOPE!$T$4:$T$23,0)),"")</f>
        <v/>
      </c>
      <c r="B35" s="25" t="str">
        <f aca="false">IFERROR(INDEX(SCOPE!$P$4:$P$23,MATCH(13,SCOPE!$T$4:$T$23,0)),"")</f>
        <v/>
      </c>
      <c r="C35" s="26" t="str">
        <f aca="false">IF(OR(B35="",D35=0),"",E35/D35)</f>
        <v/>
      </c>
      <c r="D35" s="27" t="str">
        <f aca="false">IFERROR(INDEX(SCOPE!$Q$4:$Q$23,MATCH(13,SCOPE!$T$4:$T$23,0)),"")</f>
        <v/>
      </c>
      <c r="E35" s="28" t="str">
        <f aca="false">IFERROR(INDEX(SCOPE!$R$4:$R$23,MATCH(13,SCOPE!$T$4:$T$23,0)),"")</f>
        <v/>
      </c>
      <c r="F35" s="26" t="str">
        <f aca="false">IF(OR(B35="",G35=0),"",H35/G35)</f>
        <v/>
      </c>
      <c r="G35" s="27" t="str">
        <f aca="false">IF(B35="","",D35)</f>
        <v/>
      </c>
      <c r="H35" s="28" t="str">
        <f aca="false">IFERROR(INDEX(SCOPE!$S$4:$S$23,MATCH(13,SCOPE!$T$4:$T$23,0)),"")</f>
        <v/>
      </c>
      <c r="I35" s="28" t="str">
        <f aca="false">IF(B35="","",E35-H35)</f>
        <v/>
      </c>
      <c r="J35" s="29" t="str">
        <f aca="false">IF(OR(B35="",E35=0),"",I35/E35)</f>
        <v/>
      </c>
    </row>
    <row r="36" customFormat="false" ht="15" hidden="false" customHeight="false" outlineLevel="0" collapsed="false">
      <c r="A36" s="24" t="str">
        <f aca="false">IFERROR(INDEX(SCOPE!$U$4:$U$23,MATCH(14,SCOPE!$T$4:$T$23,0)),"")</f>
        <v/>
      </c>
      <c r="B36" s="25" t="str">
        <f aca="false">IFERROR(INDEX(SCOPE!$P$4:$P$23,MATCH(14,SCOPE!$T$4:$T$23,0)),"")</f>
        <v/>
      </c>
      <c r="C36" s="26" t="str">
        <f aca="false">IF(OR(B36="",D36=0),"",E36/D36)</f>
        <v/>
      </c>
      <c r="D36" s="27" t="str">
        <f aca="false">IFERROR(INDEX(SCOPE!$Q$4:$Q$23,MATCH(14,SCOPE!$T$4:$T$23,0)),"")</f>
        <v/>
      </c>
      <c r="E36" s="28" t="str">
        <f aca="false">IFERROR(INDEX(SCOPE!$R$4:$R$23,MATCH(14,SCOPE!$T$4:$T$23,0)),"")</f>
        <v/>
      </c>
      <c r="F36" s="26" t="str">
        <f aca="false">IF(OR(B36="",G36=0),"",H36/G36)</f>
        <v/>
      </c>
      <c r="G36" s="27" t="str">
        <f aca="false">IF(B36="","",D36)</f>
        <v/>
      </c>
      <c r="H36" s="28" t="str">
        <f aca="false">IFERROR(INDEX(SCOPE!$S$4:$S$23,MATCH(14,SCOPE!$T$4:$T$23,0)),"")</f>
        <v/>
      </c>
      <c r="I36" s="28" t="str">
        <f aca="false">IF(B36="","",E36-H36)</f>
        <v/>
      </c>
      <c r="J36" s="29" t="str">
        <f aca="false">IF(OR(B36="",E36=0),"",I36/E36)</f>
        <v/>
      </c>
    </row>
    <row r="37" customFormat="false" ht="15" hidden="false" customHeight="false" outlineLevel="0" collapsed="false">
      <c r="A37" s="24" t="str">
        <f aca="false">IFERROR(INDEX(SCOPE!$U$4:$U$23,MATCH(15,SCOPE!$T$4:$T$23,0)),"")</f>
        <v/>
      </c>
      <c r="B37" s="25" t="str">
        <f aca="false">IFERROR(INDEX(SCOPE!$P$4:$P$23,MATCH(15,SCOPE!$T$4:$T$23,0)),"")</f>
        <v/>
      </c>
      <c r="C37" s="26" t="str">
        <f aca="false">IF(OR(B37="",D37=0),"",E37/D37)</f>
        <v/>
      </c>
      <c r="D37" s="27" t="str">
        <f aca="false">IFERROR(INDEX(SCOPE!$Q$4:$Q$23,MATCH(15,SCOPE!$T$4:$T$23,0)),"")</f>
        <v/>
      </c>
      <c r="E37" s="28" t="str">
        <f aca="false">IFERROR(INDEX(SCOPE!$R$4:$R$23,MATCH(15,SCOPE!$T$4:$T$23,0)),"")</f>
        <v/>
      </c>
      <c r="F37" s="26" t="str">
        <f aca="false">IF(OR(B37="",G37=0),"",H37/G37)</f>
        <v/>
      </c>
      <c r="G37" s="27" t="str">
        <f aca="false">IF(B37="","",D37)</f>
        <v/>
      </c>
      <c r="H37" s="28" t="str">
        <f aca="false">IFERROR(INDEX(SCOPE!$S$4:$S$23,MATCH(15,SCOPE!$T$4:$T$23,0)),"")</f>
        <v/>
      </c>
      <c r="I37" s="28" t="str">
        <f aca="false">IF(B37="","",E37-H37)</f>
        <v/>
      </c>
      <c r="J37" s="29" t="str">
        <f aca="false">IF(OR(B37="",E37=0),"",I37/E37)</f>
        <v/>
      </c>
    </row>
    <row r="38" customFormat="false" ht="15" hidden="false" customHeight="false" outlineLevel="0" collapsed="false">
      <c r="A38" s="24" t="str">
        <f aca="false">IFERROR(INDEX(SCOPE!$U$4:$U$23,MATCH(16,SCOPE!$T$4:$T$23,0)),"")</f>
        <v/>
      </c>
      <c r="B38" s="25" t="str">
        <f aca="false">IFERROR(INDEX(SCOPE!$P$4:$P$23,MATCH(16,SCOPE!$T$4:$T$23,0)),"")</f>
        <v/>
      </c>
      <c r="C38" s="26" t="str">
        <f aca="false">IF(OR(B38="",D38=0),"",E38/D38)</f>
        <v/>
      </c>
      <c r="D38" s="27" t="str">
        <f aca="false">IFERROR(INDEX(SCOPE!$Q$4:$Q$23,MATCH(16,SCOPE!$T$4:$T$23,0)),"")</f>
        <v/>
      </c>
      <c r="E38" s="28" t="str">
        <f aca="false">IFERROR(INDEX(SCOPE!$R$4:$R$23,MATCH(16,SCOPE!$T$4:$T$23,0)),"")</f>
        <v/>
      </c>
      <c r="F38" s="26" t="str">
        <f aca="false">IF(OR(B38="",G38=0),"",H38/G38)</f>
        <v/>
      </c>
      <c r="G38" s="27" t="str">
        <f aca="false">IF(B38="","",D38)</f>
        <v/>
      </c>
      <c r="H38" s="28" t="str">
        <f aca="false">IFERROR(INDEX(SCOPE!$S$4:$S$23,MATCH(16,SCOPE!$T$4:$T$23,0)),"")</f>
        <v/>
      </c>
      <c r="I38" s="28" t="str">
        <f aca="false">IF(B38="","",E38-H38)</f>
        <v/>
      </c>
      <c r="J38" s="29" t="str">
        <f aca="false">IF(OR(B38="",E38=0),"",I38/E38)</f>
        <v/>
      </c>
    </row>
    <row r="39" customFormat="false" ht="15" hidden="false" customHeight="false" outlineLevel="0" collapsed="false">
      <c r="A39" s="24" t="str">
        <f aca="false">IFERROR(INDEX(SCOPE!$U$4:$U$23,MATCH(17,SCOPE!$T$4:$T$23,0)),"")</f>
        <v/>
      </c>
      <c r="B39" s="25" t="str">
        <f aca="false">IFERROR(INDEX(SCOPE!$P$4:$P$23,MATCH(17,SCOPE!$T$4:$T$23,0)),"")</f>
        <v/>
      </c>
      <c r="C39" s="26" t="str">
        <f aca="false">IF(OR(B39="",D39=0),"",E39/D39)</f>
        <v/>
      </c>
      <c r="D39" s="27" t="str">
        <f aca="false">IFERROR(INDEX(SCOPE!$Q$4:$Q$23,MATCH(17,SCOPE!$T$4:$T$23,0)),"")</f>
        <v/>
      </c>
      <c r="E39" s="28" t="str">
        <f aca="false">IFERROR(INDEX(SCOPE!$R$4:$R$23,MATCH(17,SCOPE!$T$4:$T$23,0)),"")</f>
        <v/>
      </c>
      <c r="F39" s="26" t="str">
        <f aca="false">IF(OR(B39="",G39=0),"",H39/G39)</f>
        <v/>
      </c>
      <c r="G39" s="27" t="str">
        <f aca="false">IF(B39="","",D39)</f>
        <v/>
      </c>
      <c r="H39" s="28" t="str">
        <f aca="false">IFERROR(INDEX(SCOPE!$S$4:$S$23,MATCH(17,SCOPE!$T$4:$T$23,0)),"")</f>
        <v/>
      </c>
      <c r="I39" s="28" t="str">
        <f aca="false">IF(B39="","",E39-H39)</f>
        <v/>
      </c>
      <c r="J39" s="29" t="str">
        <f aca="false">IF(OR(B39="",E39=0),"",I39/E39)</f>
        <v/>
      </c>
    </row>
    <row r="40" customFormat="false" ht="15" hidden="false" customHeight="false" outlineLevel="0" collapsed="false">
      <c r="A40" s="24" t="str">
        <f aca="false">IFERROR(INDEX(SCOPE!$U$4:$U$23,MATCH(18,SCOPE!$T$4:$T$23,0)),"")</f>
        <v/>
      </c>
      <c r="B40" s="25" t="str">
        <f aca="false">IFERROR(INDEX(SCOPE!$P$4:$P$23,MATCH(18,SCOPE!$T$4:$T$23,0)),"")</f>
        <v/>
      </c>
      <c r="C40" s="26" t="str">
        <f aca="false">IF(OR(B40="",D40=0),"",E40/D40)</f>
        <v/>
      </c>
      <c r="D40" s="27" t="str">
        <f aca="false">IFERROR(INDEX(SCOPE!$Q$4:$Q$23,MATCH(18,SCOPE!$T$4:$T$23,0)),"")</f>
        <v/>
      </c>
      <c r="E40" s="28" t="str">
        <f aca="false">IFERROR(INDEX(SCOPE!$R$4:$R$23,MATCH(18,SCOPE!$T$4:$T$23,0)),"")</f>
        <v/>
      </c>
      <c r="F40" s="26" t="str">
        <f aca="false">IF(OR(B40="",G40=0),"",H40/G40)</f>
        <v/>
      </c>
      <c r="G40" s="27" t="str">
        <f aca="false">IF(B40="","",D40)</f>
        <v/>
      </c>
      <c r="H40" s="28" t="str">
        <f aca="false">IFERROR(INDEX(SCOPE!$S$4:$S$23,MATCH(18,SCOPE!$T$4:$T$23,0)),"")</f>
        <v/>
      </c>
      <c r="I40" s="28" t="str">
        <f aca="false">IF(B40="","",E40-H40)</f>
        <v/>
      </c>
      <c r="J40" s="29" t="str">
        <f aca="false">IF(OR(B40="",E40=0),"",I40/E40)</f>
        <v/>
      </c>
    </row>
    <row r="41" customFormat="false" ht="15" hidden="false" customHeight="false" outlineLevel="0" collapsed="false">
      <c r="A41" s="24" t="str">
        <f aca="false">IFERROR(INDEX(SCOPE!$U$4:$U$23,MATCH(19,SCOPE!$T$4:$T$23,0)),"")</f>
        <v/>
      </c>
      <c r="B41" s="25" t="str">
        <f aca="false">IFERROR(INDEX(SCOPE!$P$4:$P$23,MATCH(19,SCOPE!$T$4:$T$23,0)),"")</f>
        <v/>
      </c>
      <c r="C41" s="26" t="str">
        <f aca="false">IF(OR(B41="",D41=0),"",E41/D41)</f>
        <v/>
      </c>
      <c r="D41" s="27" t="str">
        <f aca="false">IFERROR(INDEX(SCOPE!$Q$4:$Q$23,MATCH(19,SCOPE!$T$4:$T$23,0)),"")</f>
        <v/>
      </c>
      <c r="E41" s="28" t="str">
        <f aca="false">IFERROR(INDEX(SCOPE!$R$4:$R$23,MATCH(19,SCOPE!$T$4:$T$23,0)),"")</f>
        <v/>
      </c>
      <c r="F41" s="26" t="str">
        <f aca="false">IF(OR(B41="",G41=0),"",H41/G41)</f>
        <v/>
      </c>
      <c r="G41" s="27" t="str">
        <f aca="false">IF(B41="","",D41)</f>
        <v/>
      </c>
      <c r="H41" s="28" t="str">
        <f aca="false">IFERROR(INDEX(SCOPE!$S$4:$S$23,MATCH(19,SCOPE!$T$4:$T$23,0)),"")</f>
        <v/>
      </c>
      <c r="I41" s="28" t="str">
        <f aca="false">IF(B41="","",E41-H41)</f>
        <v/>
      </c>
      <c r="J41" s="29" t="str">
        <f aca="false">IF(OR(B41="",E41=0),"",I41/E41)</f>
        <v/>
      </c>
    </row>
    <row r="42" customFormat="false" ht="15" hidden="false" customHeight="false" outlineLevel="0" collapsed="false">
      <c r="A42" s="24" t="str">
        <f aca="false">IFERROR(INDEX(SCOPE!$U$4:$U$23,MATCH(20,SCOPE!$T$4:$T$23,0)),"")</f>
        <v/>
      </c>
      <c r="B42" s="25" t="str">
        <f aca="false">IFERROR(INDEX(SCOPE!$P$4:$P$23,MATCH(20,SCOPE!$T$4:$T$23,0)),"")</f>
        <v/>
      </c>
      <c r="C42" s="26" t="str">
        <f aca="false">IF(OR(B42="",D42=0),"",E42/D42)</f>
        <v/>
      </c>
      <c r="D42" s="27" t="str">
        <f aca="false">IFERROR(INDEX(SCOPE!$Q$4:$Q$23,MATCH(20,SCOPE!$T$4:$T$23,0)),"")</f>
        <v/>
      </c>
      <c r="E42" s="28" t="str">
        <f aca="false">IFERROR(INDEX(SCOPE!$R$4:$R$23,MATCH(20,SCOPE!$T$4:$T$23,0)),"")</f>
        <v/>
      </c>
      <c r="F42" s="26" t="str">
        <f aca="false">IF(OR(B42="",G42=0),"",H42/G42)</f>
        <v/>
      </c>
      <c r="G42" s="27" t="str">
        <f aca="false">IF(B42="","",D42)</f>
        <v/>
      </c>
      <c r="H42" s="28" t="str">
        <f aca="false">IFERROR(INDEX(SCOPE!$S$4:$S$23,MATCH(20,SCOPE!$T$4:$T$23,0)),"")</f>
        <v/>
      </c>
      <c r="I42" s="28" t="str">
        <f aca="false">IF(B42="","",E42-H42)</f>
        <v/>
      </c>
      <c r="J42" s="29" t="str">
        <f aca="false">IF(OR(B42="",E42=0),"",I42/E42)</f>
        <v/>
      </c>
    </row>
    <row r="43" customFormat="false" ht="15" hidden="false" customHeight="false" outlineLevel="0" collapsed="false">
      <c r="A43" s="30"/>
      <c r="B43" s="31" t="s">
        <v>6</v>
      </c>
      <c r="C43" s="32"/>
      <c r="D43" s="33" t="n">
        <f aca="false">SUM(D23:D42)</f>
        <v>568</v>
      </c>
      <c r="E43" s="34" t="n">
        <f aca="false">SUM(E23:E42)</f>
        <v>48830</v>
      </c>
      <c r="F43" s="32"/>
      <c r="G43" s="33" t="n">
        <f aca="false">SUM(G23:G42)</f>
        <v>568</v>
      </c>
      <c r="H43" s="34" t="n">
        <f aca="false">SUM(H23:H42)</f>
        <v>32244</v>
      </c>
      <c r="I43" s="34" t="n">
        <f aca="false">SUM(I23:I42)</f>
        <v>16586</v>
      </c>
      <c r="J43" s="35" t="n">
        <f aca="false">IF(E43=0,"",I43/E43)</f>
        <v>0.339668236739709</v>
      </c>
    </row>
    <row r="45" customFormat="false" ht="19.5" hidden="false" customHeight="true" outlineLevel="0" collapsed="false">
      <c r="B45" s="3" t="s">
        <v>23</v>
      </c>
      <c r="C45" s="3"/>
      <c r="D45" s="3"/>
      <c r="E45" s="3"/>
      <c r="F45" s="3"/>
      <c r="G45" s="3"/>
      <c r="H45" s="3"/>
      <c r="I45" s="3"/>
      <c r="J45" s="3"/>
    </row>
    <row r="46" customFormat="false" ht="27.75" hidden="false" customHeight="true" outlineLevel="0" collapsed="false">
      <c r="B46" s="14" t="s">
        <v>20</v>
      </c>
      <c r="C46" s="14" t="s">
        <v>21</v>
      </c>
      <c r="D46" s="14" t="s">
        <v>10</v>
      </c>
      <c r="E46" s="14" t="s">
        <v>2</v>
      </c>
      <c r="F46" s="14" t="s">
        <v>22</v>
      </c>
      <c r="G46" s="14" t="s">
        <v>10</v>
      </c>
      <c r="H46" s="14" t="s">
        <v>3</v>
      </c>
      <c r="I46" s="14" t="s">
        <v>4</v>
      </c>
      <c r="J46" s="14" t="s">
        <v>5</v>
      </c>
    </row>
    <row r="47" customFormat="false" ht="15" hidden="false" customHeight="false" outlineLevel="0" collapsed="false">
      <c r="A47" s="24" t="str">
        <f aca="false">IF(1&lt;=INPUTS!$C$27,"PM","")</f>
        <v>PM</v>
      </c>
      <c r="B47" s="25" t="str">
        <f aca="false">IF(1&lt;=INPUTS!$C$27,INPUTS!$C$55,"")</f>
        <v>Project Manager</v>
      </c>
      <c r="C47" s="26" t="n">
        <f aca="false">IF(1&lt;=INPUTS!$C$27,INPUTS!$C$37,"")</f>
        <v>100</v>
      </c>
      <c r="D47" s="27" t="n">
        <f aca="false">IF(1&lt;=INPUTS!$C$27,(INPUTS!$C$18+INPUTS!$C$19)*INPUTS!$C$42+INPUTS!$C$20*INPUTS!$C$45,"")</f>
        <v>48</v>
      </c>
      <c r="E47" s="28" t="n">
        <f aca="false">IF(B47="","",C47*D47)</f>
        <v>4800</v>
      </c>
      <c r="F47" s="26" t="n">
        <f aca="false">IF(1&lt;=INPUTS!$C$27,INPUTS!$C$33,"")</f>
        <v>60</v>
      </c>
      <c r="G47" s="27" t="n">
        <f aca="false">IF(B47="","",D47)</f>
        <v>48</v>
      </c>
      <c r="H47" s="28" t="n">
        <f aca="false">IF(B47="","",F47*G47)</f>
        <v>2880</v>
      </c>
      <c r="I47" s="28" t="n">
        <f aca="false">IF(B47="","",E47-H47)</f>
        <v>1920</v>
      </c>
      <c r="J47" s="29" t="n">
        <f aca="false">IF(OR(B47="",E47=0),"",I47/E47)</f>
        <v>0.4</v>
      </c>
    </row>
    <row r="48" customFormat="false" ht="15" hidden="false" customHeight="false" outlineLevel="0" collapsed="false">
      <c r="A48" s="24" t="str">
        <f aca="false">IF(2&lt;=INPUTS!$C$27,"PM","")</f>
        <v>PM</v>
      </c>
      <c r="B48" s="25" t="str">
        <f aca="false">IF(2&lt;=INPUTS!$C$27,INPUTS!$C$56,"")</f>
        <v>Event Manager</v>
      </c>
      <c r="C48" s="26" t="n">
        <f aca="false">IF(2&lt;=INPUTS!$C$27,INPUTS!$C$37,"")</f>
        <v>100</v>
      </c>
      <c r="D48" s="27" t="n">
        <f aca="false">IF(2&lt;=INPUTS!$C$27,(INPUTS!$C$18+INPUTS!$C$19)*INPUTS!$C$42+INPUTS!$C$20*INPUTS!$C$45,"")</f>
        <v>48</v>
      </c>
      <c r="E48" s="28" t="n">
        <f aca="false">IF(B48="","",C48*D48)</f>
        <v>4800</v>
      </c>
      <c r="F48" s="26" t="n">
        <f aca="false">IF(2&lt;=INPUTS!$C$27,INPUTS!$C$33,"")</f>
        <v>60</v>
      </c>
      <c r="G48" s="27" t="n">
        <f aca="false">IF(B48="","",D48)</f>
        <v>48</v>
      </c>
      <c r="H48" s="28" t="n">
        <f aca="false">IF(B48="","",F48*G48)</f>
        <v>2880</v>
      </c>
      <c r="I48" s="28" t="n">
        <f aca="false">IF(B48="","",E48-H48)</f>
        <v>1920</v>
      </c>
      <c r="J48" s="29" t="n">
        <f aca="false">IF(OR(B48="",E48=0),"",I48/E48)</f>
        <v>0.4</v>
      </c>
    </row>
    <row r="49" customFormat="false" ht="15" hidden="false" customHeight="false" outlineLevel="0" collapsed="false">
      <c r="A49" s="24" t="str">
        <f aca="false">IF(3&lt;=INPUTS!$C$27,"PM","")</f>
        <v>PM</v>
      </c>
      <c r="B49" s="25" t="str">
        <f aca="false">IF(3&lt;=INPUTS!$C$27,INPUTS!$C$57,"")</f>
        <v>Executive Producer</v>
      </c>
      <c r="C49" s="26" t="n">
        <f aca="false">IF(3&lt;=INPUTS!$C$27,INPUTS!$C$37,"")</f>
        <v>100</v>
      </c>
      <c r="D49" s="27" t="n">
        <f aca="false">IF(3&lt;=INPUTS!$C$27,(INPUTS!$C$18+INPUTS!$C$19)*INPUTS!$C$42+INPUTS!$C$20*INPUTS!$C$45,"")</f>
        <v>48</v>
      </c>
      <c r="E49" s="28" t="n">
        <f aca="false">IF(B49="","",C49*D49)</f>
        <v>4800</v>
      </c>
      <c r="F49" s="26" t="n">
        <f aca="false">IF(3&lt;=INPUTS!$C$27,INPUTS!$C$33,"")</f>
        <v>60</v>
      </c>
      <c r="G49" s="27" t="n">
        <f aca="false">IF(B49="","",D49)</f>
        <v>48</v>
      </c>
      <c r="H49" s="28" t="n">
        <f aca="false">IF(B49="","",F49*G49)</f>
        <v>2880</v>
      </c>
      <c r="I49" s="28" t="n">
        <f aca="false">IF(B49="","",E49-H49)</f>
        <v>1920</v>
      </c>
      <c r="J49" s="29" t="n">
        <f aca="false">IF(OR(B49="",E49=0),"",I49/E49)</f>
        <v>0.4</v>
      </c>
    </row>
    <row r="50" customFormat="false" ht="15" hidden="false" customHeight="false" outlineLevel="0" collapsed="false">
      <c r="A50" s="24" t="str">
        <f aca="false">IF(4&lt;=INPUTS!$C$27,"PM","")</f>
        <v/>
      </c>
      <c r="B50" s="25" t="str">
        <f aca="false">IF(4&lt;=INPUTS!$C$27,INPUTS!$C$58,"")</f>
        <v/>
      </c>
      <c r="C50" s="26" t="str">
        <f aca="false">IF(4&lt;=INPUTS!$C$27,INPUTS!$C$37,"")</f>
        <v/>
      </c>
      <c r="D50" s="27" t="str">
        <f aca="false">IF(4&lt;=INPUTS!$C$27,(INPUTS!$C$18+INPUTS!$C$19)*INPUTS!$C$42+INPUTS!$C$20*INPUTS!$C$45,"")</f>
        <v/>
      </c>
      <c r="E50" s="28" t="str">
        <f aca="false">IF(B50="","",C50*D50)</f>
        <v/>
      </c>
      <c r="F50" s="26" t="str">
        <f aca="false">IF(4&lt;=INPUTS!$C$27,INPUTS!$C$33,"")</f>
        <v/>
      </c>
      <c r="G50" s="27" t="str">
        <f aca="false">IF(B50="","",D50)</f>
        <v/>
      </c>
      <c r="H50" s="28" t="str">
        <f aca="false">IF(B50="","",F50*G50)</f>
        <v/>
      </c>
      <c r="I50" s="28" t="str">
        <f aca="false">IF(B50="","",E50-H50)</f>
        <v/>
      </c>
      <c r="J50" s="29" t="str">
        <f aca="false">IF(OR(B50="",E50=0),"",I50/E50)</f>
        <v/>
      </c>
    </row>
    <row r="51" customFormat="false" ht="15" hidden="false" customHeight="false" outlineLevel="0" collapsed="false">
      <c r="A51" s="24" t="str">
        <f aca="false">IF(5&lt;=INPUTS!$C$27,"PM","")</f>
        <v/>
      </c>
      <c r="B51" s="25" t="str">
        <f aca="false">IF(5&lt;=INPUTS!$C$27,INPUTS!$C$59,"")</f>
        <v/>
      </c>
      <c r="C51" s="26" t="str">
        <f aca="false">IF(5&lt;=INPUTS!$C$27,INPUTS!$C$37,"")</f>
        <v/>
      </c>
      <c r="D51" s="27" t="str">
        <f aca="false">IF(5&lt;=INPUTS!$C$27,(INPUTS!$C$18+INPUTS!$C$19)*INPUTS!$C$42+INPUTS!$C$20*INPUTS!$C$45,"")</f>
        <v/>
      </c>
      <c r="E51" s="28" t="str">
        <f aca="false">IF(B51="","",C51*D51)</f>
        <v/>
      </c>
      <c r="F51" s="26" t="str">
        <f aca="false">IF(5&lt;=INPUTS!$C$27,INPUTS!$C$33,"")</f>
        <v/>
      </c>
      <c r="G51" s="27" t="str">
        <f aca="false">IF(B51="","",D51)</f>
        <v/>
      </c>
      <c r="H51" s="28" t="str">
        <f aca="false">IF(B51="","",F51*G51)</f>
        <v/>
      </c>
      <c r="I51" s="28" t="str">
        <f aca="false">IF(B51="","",E51-H51)</f>
        <v/>
      </c>
      <c r="J51" s="29" t="str">
        <f aca="false">IF(OR(B51="",E51=0),"",I51/E51)</f>
        <v/>
      </c>
    </row>
    <row r="52" customFormat="false" ht="15" hidden="false" customHeight="false" outlineLevel="0" collapsed="false">
      <c r="A52" s="24" t="str">
        <f aca="false">IF(6&lt;=INPUTS!$C$27,"PM","")</f>
        <v/>
      </c>
      <c r="B52" s="25" t="str">
        <f aca="false">IF(6&lt;=INPUTS!$C$27,INPUTS!$C$60,"")</f>
        <v/>
      </c>
      <c r="C52" s="26" t="str">
        <f aca="false">IF(6&lt;=INPUTS!$C$27,INPUTS!$C$37,"")</f>
        <v/>
      </c>
      <c r="D52" s="27" t="str">
        <f aca="false">IF(6&lt;=INPUTS!$C$27,(INPUTS!$C$18+INPUTS!$C$19)*INPUTS!$C$42+INPUTS!$C$20*INPUTS!$C$45,"")</f>
        <v/>
      </c>
      <c r="E52" s="28" t="str">
        <f aca="false">IF(B52="","",C52*D52)</f>
        <v/>
      </c>
      <c r="F52" s="26" t="str">
        <f aca="false">IF(6&lt;=INPUTS!$C$27,INPUTS!$C$33,"")</f>
        <v/>
      </c>
      <c r="G52" s="27" t="str">
        <f aca="false">IF(B52="","",D52)</f>
        <v/>
      </c>
      <c r="H52" s="28" t="str">
        <f aca="false">IF(B52="","",F52*G52)</f>
        <v/>
      </c>
      <c r="I52" s="28" t="str">
        <f aca="false">IF(B52="","",E52-H52)</f>
        <v/>
      </c>
      <c r="J52" s="29" t="str">
        <f aca="false">IF(OR(B52="",E52=0),"",I52/E52)</f>
        <v/>
      </c>
    </row>
    <row r="53" customFormat="false" ht="15" hidden="false" customHeight="false" outlineLevel="0" collapsed="false">
      <c r="A53" s="24" t="str">
        <f aca="false">IF(7&lt;=INPUTS!$C$27,"PM","")</f>
        <v/>
      </c>
      <c r="B53" s="25" t="str">
        <f aca="false">IF(7&lt;=INPUTS!$C$27,INPUTS!$C$61,"")</f>
        <v/>
      </c>
      <c r="C53" s="26" t="str">
        <f aca="false">IF(7&lt;=INPUTS!$C$27,INPUTS!$C$37,"")</f>
        <v/>
      </c>
      <c r="D53" s="27" t="str">
        <f aca="false">IF(7&lt;=INPUTS!$C$27,(INPUTS!$C$18+INPUTS!$C$19)*INPUTS!$C$42+INPUTS!$C$20*INPUTS!$C$45,"")</f>
        <v/>
      </c>
      <c r="E53" s="28" t="str">
        <f aca="false">IF(B53="","",C53*D53)</f>
        <v/>
      </c>
      <c r="F53" s="26" t="str">
        <f aca="false">IF(7&lt;=INPUTS!$C$27,INPUTS!$C$33,"")</f>
        <v/>
      </c>
      <c r="G53" s="27" t="str">
        <f aca="false">IF(B53="","",D53)</f>
        <v/>
      </c>
      <c r="H53" s="28" t="str">
        <f aca="false">IF(B53="","",F53*G53)</f>
        <v/>
      </c>
      <c r="I53" s="28" t="str">
        <f aca="false">IF(B53="","",E53-H53)</f>
        <v/>
      </c>
      <c r="J53" s="29" t="str">
        <f aca="false">IF(OR(B53="",E53=0),"",I53/E53)</f>
        <v/>
      </c>
    </row>
    <row r="54" customFormat="false" ht="15" hidden="false" customHeight="false" outlineLevel="0" collapsed="false">
      <c r="A54" s="24" t="str">
        <f aca="false">IF(8&lt;=INPUTS!$C$27,"PM","")</f>
        <v/>
      </c>
      <c r="B54" s="25" t="str">
        <f aca="false">IF(8&lt;=INPUTS!$C$27,INPUTS!$C$62,"")</f>
        <v/>
      </c>
      <c r="C54" s="26" t="str">
        <f aca="false">IF(8&lt;=INPUTS!$C$27,INPUTS!$C$37,"")</f>
        <v/>
      </c>
      <c r="D54" s="27" t="str">
        <f aca="false">IF(8&lt;=INPUTS!$C$27,(INPUTS!$C$18+INPUTS!$C$19)*INPUTS!$C$42+INPUTS!$C$20*INPUTS!$C$45,"")</f>
        <v/>
      </c>
      <c r="E54" s="28" t="str">
        <f aca="false">IF(B54="","",C54*D54)</f>
        <v/>
      </c>
      <c r="F54" s="26" t="str">
        <f aca="false">IF(8&lt;=INPUTS!$C$27,INPUTS!$C$33,"")</f>
        <v/>
      </c>
      <c r="G54" s="27" t="str">
        <f aca="false">IF(B54="","",D54)</f>
        <v/>
      </c>
      <c r="H54" s="28" t="str">
        <f aca="false">IF(B54="","",F54*G54)</f>
        <v/>
      </c>
      <c r="I54" s="28" t="str">
        <f aca="false">IF(B54="","",E54-H54)</f>
        <v/>
      </c>
      <c r="J54" s="29" t="str">
        <f aca="false">IF(OR(B54="",E54=0),"",I54/E54)</f>
        <v/>
      </c>
    </row>
    <row r="55" customFormat="false" ht="15" hidden="false" customHeight="false" outlineLevel="0" collapsed="false">
      <c r="A55" s="24" t="str">
        <f aca="false">IF(9&lt;=INPUTS!$C$27,"PM","")</f>
        <v/>
      </c>
      <c r="B55" s="25" t="str">
        <f aca="false">IF(9&lt;=INPUTS!$C$27,INPUTS!$C$63,"")</f>
        <v/>
      </c>
      <c r="C55" s="26" t="str">
        <f aca="false">IF(9&lt;=INPUTS!$C$27,INPUTS!$C$37,"")</f>
        <v/>
      </c>
      <c r="D55" s="27" t="str">
        <f aca="false">IF(9&lt;=INPUTS!$C$27,(INPUTS!$C$18+INPUTS!$C$19)*INPUTS!$C$42+INPUTS!$C$20*INPUTS!$C$45,"")</f>
        <v/>
      </c>
      <c r="E55" s="28" t="str">
        <f aca="false">IF(B55="","",C55*D55)</f>
        <v/>
      </c>
      <c r="F55" s="26" t="str">
        <f aca="false">IF(9&lt;=INPUTS!$C$27,INPUTS!$C$33,"")</f>
        <v/>
      </c>
      <c r="G55" s="27" t="str">
        <f aca="false">IF(B55="","",D55)</f>
        <v/>
      </c>
      <c r="H55" s="28" t="str">
        <f aca="false">IF(B55="","",F55*G55)</f>
        <v/>
      </c>
      <c r="I55" s="28" t="str">
        <f aca="false">IF(B55="","",E55-H55)</f>
        <v/>
      </c>
      <c r="J55" s="29" t="str">
        <f aca="false">IF(OR(B55="",E55=0),"",I55/E55)</f>
        <v/>
      </c>
    </row>
    <row r="56" customFormat="false" ht="15" hidden="false" customHeight="false" outlineLevel="0" collapsed="false">
      <c r="A56" s="24" t="str">
        <f aca="false">IF(10&lt;=INPUTS!$C$27,"PM","")</f>
        <v/>
      </c>
      <c r="B56" s="25" t="str">
        <f aca="false">IF(10&lt;=INPUTS!$C$27,INPUTS!$C$64,"")</f>
        <v/>
      </c>
      <c r="C56" s="26" t="str">
        <f aca="false">IF(10&lt;=INPUTS!$C$27,INPUTS!$C$37,"")</f>
        <v/>
      </c>
      <c r="D56" s="27" t="str">
        <f aca="false">IF(10&lt;=INPUTS!$C$27,(INPUTS!$C$18+INPUTS!$C$19)*INPUTS!$C$42+INPUTS!$C$20*INPUTS!$C$45,"")</f>
        <v/>
      </c>
      <c r="E56" s="28" t="str">
        <f aca="false">IF(B56="","",C56*D56)</f>
        <v/>
      </c>
      <c r="F56" s="26" t="str">
        <f aca="false">IF(10&lt;=INPUTS!$C$27,INPUTS!$C$33,"")</f>
        <v/>
      </c>
      <c r="G56" s="27" t="str">
        <f aca="false">IF(B56="","",D56)</f>
        <v/>
      </c>
      <c r="H56" s="28" t="str">
        <f aca="false">IF(B56="","",F56*G56)</f>
        <v/>
      </c>
      <c r="I56" s="28" t="str">
        <f aca="false">IF(B56="","",E56-H56)</f>
        <v/>
      </c>
      <c r="J56" s="29" t="str">
        <f aca="false">IF(OR(B56="",E56=0),"",I56/E56)</f>
        <v/>
      </c>
    </row>
    <row r="57" customFormat="false" ht="15" hidden="false" customHeight="false" outlineLevel="0" collapsed="false">
      <c r="A57" s="24" t="str">
        <f aca="false">IF(1&lt;=INPUTS!$C$28,"EC","")</f>
        <v>EC</v>
      </c>
      <c r="B57" s="25" t="str">
        <f aca="false">IF(1&lt;=INPUTS!$C$28,INPUTS!$C$66,"")</f>
        <v>Event Coordinator</v>
      </c>
      <c r="C57" s="26" t="n">
        <f aca="false">IF(1&lt;=INPUTS!$C$28,INPUTS!$C$38,"")</f>
        <v>65</v>
      </c>
      <c r="D57" s="27" t="n">
        <f aca="false">IF(1&lt;=INPUTS!$C$28,(INPUTS!$C$18+INPUTS!$C$19)*INPUTS!$C$43+INPUTS!$C$20*INPUTS!$C$45,"")</f>
        <v>32</v>
      </c>
      <c r="E57" s="28" t="n">
        <f aca="false">IF(B57="","",C57*D57)</f>
        <v>2080</v>
      </c>
      <c r="F57" s="26" t="n">
        <f aca="false">IF(1&lt;=INPUTS!$C$28,INPUTS!$C$34,"")</f>
        <v>42</v>
      </c>
      <c r="G57" s="27" t="n">
        <f aca="false">IF(B57="","",D57)</f>
        <v>32</v>
      </c>
      <c r="H57" s="28" t="n">
        <f aca="false">IF(B57="","",F57*G57)</f>
        <v>1344</v>
      </c>
      <c r="I57" s="28" t="n">
        <f aca="false">IF(B57="","",E57-H57)</f>
        <v>736</v>
      </c>
      <c r="J57" s="29" t="n">
        <f aca="false">IF(OR(B57="",E57=0),"",I57/E57)</f>
        <v>0.353846153846154</v>
      </c>
    </row>
    <row r="58" customFormat="false" ht="15" hidden="false" customHeight="false" outlineLevel="0" collapsed="false">
      <c r="A58" s="24" t="str">
        <f aca="false">IF(2&lt;=INPUTS!$C$28,"EC","")</f>
        <v>EC</v>
      </c>
      <c r="B58" s="25" t="str">
        <f aca="false">IF(2&lt;=INPUTS!$C$28,INPUTS!$C$67,"")</f>
        <v>Registration Coordinator</v>
      </c>
      <c r="C58" s="26" t="n">
        <f aca="false">IF(2&lt;=INPUTS!$C$28,INPUTS!$C$38,"")</f>
        <v>65</v>
      </c>
      <c r="D58" s="27" t="n">
        <f aca="false">IF(2&lt;=INPUTS!$C$28,(INPUTS!$C$18+INPUTS!$C$19)*INPUTS!$C$43+INPUTS!$C$20*INPUTS!$C$45,"")</f>
        <v>32</v>
      </c>
      <c r="E58" s="28" t="n">
        <f aca="false">IF(B58="","",C58*D58)</f>
        <v>2080</v>
      </c>
      <c r="F58" s="26" t="n">
        <f aca="false">IF(2&lt;=INPUTS!$C$28,INPUTS!$C$34,"")</f>
        <v>42</v>
      </c>
      <c r="G58" s="27" t="n">
        <f aca="false">IF(B58="","",D58)</f>
        <v>32</v>
      </c>
      <c r="H58" s="28" t="n">
        <f aca="false">IF(B58="","",F58*G58)</f>
        <v>1344</v>
      </c>
      <c r="I58" s="28" t="n">
        <f aca="false">IF(B58="","",E58-H58)</f>
        <v>736</v>
      </c>
      <c r="J58" s="29" t="n">
        <f aca="false">IF(OR(B58="",E58=0),"",I58/E58)</f>
        <v>0.353846153846154</v>
      </c>
    </row>
    <row r="59" customFormat="false" ht="15" hidden="false" customHeight="false" outlineLevel="0" collapsed="false">
      <c r="A59" s="24" t="str">
        <f aca="false">IF(3&lt;=INPUTS!$C$28,"EC","")</f>
        <v/>
      </c>
      <c r="B59" s="25" t="str">
        <f aca="false">IF(3&lt;=INPUTS!$C$28,INPUTS!$C$68,"")</f>
        <v/>
      </c>
      <c r="C59" s="26" t="str">
        <f aca="false">IF(3&lt;=INPUTS!$C$28,INPUTS!$C$38,"")</f>
        <v/>
      </c>
      <c r="D59" s="27" t="str">
        <f aca="false">IF(3&lt;=INPUTS!$C$28,(INPUTS!$C$18+INPUTS!$C$19)*INPUTS!$C$43+INPUTS!$C$20*INPUTS!$C$45,"")</f>
        <v/>
      </c>
      <c r="E59" s="28" t="str">
        <f aca="false">IF(B59="","",C59*D59)</f>
        <v/>
      </c>
      <c r="F59" s="26" t="str">
        <f aca="false">IF(3&lt;=INPUTS!$C$28,INPUTS!$C$34,"")</f>
        <v/>
      </c>
      <c r="G59" s="27" t="str">
        <f aca="false">IF(B59="","",D59)</f>
        <v/>
      </c>
      <c r="H59" s="28" t="str">
        <f aca="false">IF(B59="","",F59*G59)</f>
        <v/>
      </c>
      <c r="I59" s="28" t="str">
        <f aca="false">IF(B59="","",E59-H59)</f>
        <v/>
      </c>
      <c r="J59" s="29" t="str">
        <f aca="false">IF(OR(B59="",E59=0),"",I59/E59)</f>
        <v/>
      </c>
    </row>
    <row r="60" customFormat="false" ht="15" hidden="false" customHeight="false" outlineLevel="0" collapsed="false">
      <c r="A60" s="24" t="str">
        <f aca="false">IF(4&lt;=INPUTS!$C$28,"EC","")</f>
        <v/>
      </c>
      <c r="B60" s="25" t="str">
        <f aca="false">IF(4&lt;=INPUTS!$C$28,INPUTS!$C$69,"")</f>
        <v/>
      </c>
      <c r="C60" s="26" t="str">
        <f aca="false">IF(4&lt;=INPUTS!$C$28,INPUTS!$C$38,"")</f>
        <v/>
      </c>
      <c r="D60" s="27" t="str">
        <f aca="false">IF(4&lt;=INPUTS!$C$28,(INPUTS!$C$18+INPUTS!$C$19)*INPUTS!$C$43+INPUTS!$C$20*INPUTS!$C$45,"")</f>
        <v/>
      </c>
      <c r="E60" s="28" t="str">
        <f aca="false">IF(B60="","",C60*D60)</f>
        <v/>
      </c>
      <c r="F60" s="26" t="str">
        <f aca="false">IF(4&lt;=INPUTS!$C$28,INPUTS!$C$34,"")</f>
        <v/>
      </c>
      <c r="G60" s="27" t="str">
        <f aca="false">IF(B60="","",D60)</f>
        <v/>
      </c>
      <c r="H60" s="28" t="str">
        <f aca="false">IF(B60="","",F60*G60)</f>
        <v/>
      </c>
      <c r="I60" s="28" t="str">
        <f aca="false">IF(B60="","",E60-H60)</f>
        <v/>
      </c>
      <c r="J60" s="29" t="str">
        <f aca="false">IF(OR(B60="",E60=0),"",I60/E60)</f>
        <v/>
      </c>
    </row>
    <row r="61" customFormat="false" ht="15" hidden="false" customHeight="false" outlineLevel="0" collapsed="false">
      <c r="A61" s="24" t="str">
        <f aca="false">IF(5&lt;=INPUTS!$C$28,"EC","")</f>
        <v/>
      </c>
      <c r="B61" s="25" t="str">
        <f aca="false">IF(5&lt;=INPUTS!$C$28,INPUTS!$C$70,"")</f>
        <v/>
      </c>
      <c r="C61" s="26" t="str">
        <f aca="false">IF(5&lt;=INPUTS!$C$28,INPUTS!$C$38,"")</f>
        <v/>
      </c>
      <c r="D61" s="27" t="str">
        <f aca="false">IF(5&lt;=INPUTS!$C$28,(INPUTS!$C$18+INPUTS!$C$19)*INPUTS!$C$43+INPUTS!$C$20*INPUTS!$C$45,"")</f>
        <v/>
      </c>
      <c r="E61" s="28" t="str">
        <f aca="false">IF(B61="","",C61*D61)</f>
        <v/>
      </c>
      <c r="F61" s="26" t="str">
        <f aca="false">IF(5&lt;=INPUTS!$C$28,INPUTS!$C$34,"")</f>
        <v/>
      </c>
      <c r="G61" s="27" t="str">
        <f aca="false">IF(B61="","",D61)</f>
        <v/>
      </c>
      <c r="H61" s="28" t="str">
        <f aca="false">IF(B61="","",F61*G61)</f>
        <v/>
      </c>
      <c r="I61" s="28" t="str">
        <f aca="false">IF(B61="","",E61-H61)</f>
        <v/>
      </c>
      <c r="J61" s="29" t="str">
        <f aca="false">IF(OR(B61="",E61=0),"",I61/E61)</f>
        <v/>
      </c>
    </row>
    <row r="62" customFormat="false" ht="15" hidden="false" customHeight="false" outlineLevel="0" collapsed="false">
      <c r="A62" s="24" t="str">
        <f aca="false">IF(6&lt;=INPUTS!$C$28,"EC","")</f>
        <v/>
      </c>
      <c r="B62" s="25" t="str">
        <f aca="false">IF(6&lt;=INPUTS!$C$28,INPUTS!$C$71,"")</f>
        <v/>
      </c>
      <c r="C62" s="26" t="str">
        <f aca="false">IF(6&lt;=INPUTS!$C$28,INPUTS!$C$38,"")</f>
        <v/>
      </c>
      <c r="D62" s="27" t="str">
        <f aca="false">IF(6&lt;=INPUTS!$C$28,(INPUTS!$C$18+INPUTS!$C$19)*INPUTS!$C$43+INPUTS!$C$20*INPUTS!$C$45,"")</f>
        <v/>
      </c>
      <c r="E62" s="28" t="str">
        <f aca="false">IF(B62="","",C62*D62)</f>
        <v/>
      </c>
      <c r="F62" s="26" t="str">
        <f aca="false">IF(6&lt;=INPUTS!$C$28,INPUTS!$C$34,"")</f>
        <v/>
      </c>
      <c r="G62" s="27" t="str">
        <f aca="false">IF(B62="","",D62)</f>
        <v/>
      </c>
      <c r="H62" s="28" t="str">
        <f aca="false">IF(B62="","",F62*G62)</f>
        <v/>
      </c>
      <c r="I62" s="28" t="str">
        <f aca="false">IF(B62="","",E62-H62)</f>
        <v/>
      </c>
      <c r="J62" s="29" t="str">
        <f aca="false">IF(OR(B62="",E62=0),"",I62/E62)</f>
        <v/>
      </c>
    </row>
    <row r="63" customFormat="false" ht="15" hidden="false" customHeight="false" outlineLevel="0" collapsed="false">
      <c r="A63" s="24" t="str">
        <f aca="false">IF(7&lt;=INPUTS!$C$28,"EC","")</f>
        <v/>
      </c>
      <c r="B63" s="25" t="str">
        <f aca="false">IF(7&lt;=INPUTS!$C$28,INPUTS!$C$72,"")</f>
        <v/>
      </c>
      <c r="C63" s="26" t="str">
        <f aca="false">IF(7&lt;=INPUTS!$C$28,INPUTS!$C$38,"")</f>
        <v/>
      </c>
      <c r="D63" s="27" t="str">
        <f aca="false">IF(7&lt;=INPUTS!$C$28,(INPUTS!$C$18+INPUTS!$C$19)*INPUTS!$C$43+INPUTS!$C$20*INPUTS!$C$45,"")</f>
        <v/>
      </c>
      <c r="E63" s="28" t="str">
        <f aca="false">IF(B63="","",C63*D63)</f>
        <v/>
      </c>
      <c r="F63" s="26" t="str">
        <f aca="false">IF(7&lt;=INPUTS!$C$28,INPUTS!$C$34,"")</f>
        <v/>
      </c>
      <c r="G63" s="27" t="str">
        <f aca="false">IF(B63="","",D63)</f>
        <v/>
      </c>
      <c r="H63" s="28" t="str">
        <f aca="false">IF(B63="","",F63*G63)</f>
        <v/>
      </c>
      <c r="I63" s="28" t="str">
        <f aca="false">IF(B63="","",E63-H63)</f>
        <v/>
      </c>
      <c r="J63" s="29" t="str">
        <f aca="false">IF(OR(B63="",E63=0),"",I63/E63)</f>
        <v/>
      </c>
    </row>
    <row r="64" customFormat="false" ht="15" hidden="false" customHeight="false" outlineLevel="0" collapsed="false">
      <c r="A64" s="24" t="str">
        <f aca="false">IF(8&lt;=INPUTS!$C$28,"EC","")</f>
        <v/>
      </c>
      <c r="B64" s="25" t="str">
        <f aca="false">IF(8&lt;=INPUTS!$C$28,INPUTS!$C$73,"")</f>
        <v/>
      </c>
      <c r="C64" s="26" t="str">
        <f aca="false">IF(8&lt;=INPUTS!$C$28,INPUTS!$C$38,"")</f>
        <v/>
      </c>
      <c r="D64" s="27" t="str">
        <f aca="false">IF(8&lt;=INPUTS!$C$28,(INPUTS!$C$18+INPUTS!$C$19)*INPUTS!$C$43+INPUTS!$C$20*INPUTS!$C$45,"")</f>
        <v/>
      </c>
      <c r="E64" s="28" t="str">
        <f aca="false">IF(B64="","",C64*D64)</f>
        <v/>
      </c>
      <c r="F64" s="26" t="str">
        <f aca="false">IF(8&lt;=INPUTS!$C$28,INPUTS!$C$34,"")</f>
        <v/>
      </c>
      <c r="G64" s="27" t="str">
        <f aca="false">IF(B64="","",D64)</f>
        <v/>
      </c>
      <c r="H64" s="28" t="str">
        <f aca="false">IF(B64="","",F64*G64)</f>
        <v/>
      </c>
      <c r="I64" s="28" t="str">
        <f aca="false">IF(B64="","",E64-H64)</f>
        <v/>
      </c>
      <c r="J64" s="29" t="str">
        <f aca="false">IF(OR(B64="",E64=0),"",I64/E64)</f>
        <v/>
      </c>
    </row>
    <row r="65" customFormat="false" ht="15" hidden="false" customHeight="false" outlineLevel="0" collapsed="false">
      <c r="A65" s="24" t="str">
        <f aca="false">IF(9&lt;=INPUTS!$C$28,"EC","")</f>
        <v/>
      </c>
      <c r="B65" s="25" t="str">
        <f aca="false">IF(9&lt;=INPUTS!$C$28,INPUTS!$C$74,"")</f>
        <v/>
      </c>
      <c r="C65" s="26" t="str">
        <f aca="false">IF(9&lt;=INPUTS!$C$28,INPUTS!$C$38,"")</f>
        <v/>
      </c>
      <c r="D65" s="27" t="str">
        <f aca="false">IF(9&lt;=INPUTS!$C$28,(INPUTS!$C$18+INPUTS!$C$19)*INPUTS!$C$43+INPUTS!$C$20*INPUTS!$C$45,"")</f>
        <v/>
      </c>
      <c r="E65" s="28" t="str">
        <f aca="false">IF(B65="","",C65*D65)</f>
        <v/>
      </c>
      <c r="F65" s="26" t="str">
        <f aca="false">IF(9&lt;=INPUTS!$C$28,INPUTS!$C$34,"")</f>
        <v/>
      </c>
      <c r="G65" s="27" t="str">
        <f aca="false">IF(B65="","",D65)</f>
        <v/>
      </c>
      <c r="H65" s="28" t="str">
        <f aca="false">IF(B65="","",F65*G65)</f>
        <v/>
      </c>
      <c r="I65" s="28" t="str">
        <f aca="false">IF(B65="","",E65-H65)</f>
        <v/>
      </c>
      <c r="J65" s="29" t="str">
        <f aca="false">IF(OR(B65="",E65=0),"",I65/E65)</f>
        <v/>
      </c>
    </row>
    <row r="66" customFormat="false" ht="15" hidden="false" customHeight="false" outlineLevel="0" collapsed="false">
      <c r="A66" s="24" t="str">
        <f aca="false">IF(10&lt;=INPUTS!$C$28,"EC","")</f>
        <v/>
      </c>
      <c r="B66" s="25" t="str">
        <f aca="false">IF(10&lt;=INPUTS!$C$28,INPUTS!$C$75,"")</f>
        <v/>
      </c>
      <c r="C66" s="26" t="str">
        <f aca="false">IF(10&lt;=INPUTS!$C$28,INPUTS!$C$38,"")</f>
        <v/>
      </c>
      <c r="D66" s="27" t="str">
        <f aca="false">IF(10&lt;=INPUTS!$C$28,(INPUTS!$C$18+INPUTS!$C$19)*INPUTS!$C$43+INPUTS!$C$20*INPUTS!$C$45,"")</f>
        <v/>
      </c>
      <c r="E66" s="28" t="str">
        <f aca="false">IF(B66="","",C66*D66)</f>
        <v/>
      </c>
      <c r="F66" s="26" t="str">
        <f aca="false">IF(10&lt;=INPUTS!$C$28,INPUTS!$C$34,"")</f>
        <v/>
      </c>
      <c r="G66" s="27" t="str">
        <f aca="false">IF(B66="","",D66)</f>
        <v/>
      </c>
      <c r="H66" s="28" t="str">
        <f aca="false">IF(B66="","",F66*G66)</f>
        <v/>
      </c>
      <c r="I66" s="28" t="str">
        <f aca="false">IF(B66="","",E66-H66)</f>
        <v/>
      </c>
      <c r="J66" s="29" t="str">
        <f aca="false">IF(OR(B66="",E66=0),"",I66/E66)</f>
        <v/>
      </c>
    </row>
    <row r="67" customFormat="false" ht="15" hidden="false" customHeight="false" outlineLevel="0" collapsed="false">
      <c r="A67" s="24" t="str">
        <f aca="false">IF(INPUTS!$C$28=0,"","EC")</f>
        <v>EC</v>
      </c>
      <c r="B67" s="25" t="str">
        <f aca="false">IF(INPUTS!$C$28=0,"","Coordinator Overtime  ("&amp;TEXT(INPUTS!$C$28,"0")&amp;" x "&amp;TEXT(INPUTS!$C$44,"0")&amp;" hrs x "&amp;TEXT(INPUTS!$C$18+INPUTS!$C$19,"0")&amp;" days)")</f>
        <v>Coordinator Overtime  (2 x 2 hrs x 4 days)</v>
      </c>
      <c r="C67" s="26" t="n">
        <f aca="false">IF(INPUTS!$C$28=0,"",INPUTS!$C$38*INPUTS!$C$39)</f>
        <v>97.5</v>
      </c>
      <c r="D67" s="27" t="n">
        <f aca="false">IF(INPUTS!$C$28=0,"",INPUTS!$C$28*(INPUTS!$C$18+INPUTS!$C$19)*INPUTS!$C$44)</f>
        <v>16</v>
      </c>
      <c r="E67" s="28" t="n">
        <f aca="false">IF(B67="","",C67*D67)</f>
        <v>1560</v>
      </c>
      <c r="F67" s="26" t="n">
        <f aca="false">IF(INPUTS!$C$28=0,"",INPUTS!$C$34*INPUTS!$C$39)</f>
        <v>63</v>
      </c>
      <c r="G67" s="27" t="n">
        <f aca="false">IF(B67="","",D67)</f>
        <v>16</v>
      </c>
      <c r="H67" s="28" t="n">
        <f aca="false">IF(B67="","",F67*G67)</f>
        <v>1008</v>
      </c>
      <c r="I67" s="28" t="n">
        <f aca="false">IF(B67="","",E67-H67)</f>
        <v>552</v>
      </c>
      <c r="J67" s="29" t="n">
        <f aca="false">IF(OR(B67="",E67=0),"",I67/E67)</f>
        <v>0.353846153846154</v>
      </c>
    </row>
    <row r="68" customFormat="false" ht="15" hidden="false" customHeight="false" outlineLevel="0" collapsed="false">
      <c r="A68" s="30"/>
      <c r="B68" s="31" t="s">
        <v>6</v>
      </c>
      <c r="C68" s="32"/>
      <c r="D68" s="33" t="n">
        <f aca="false">SUM(D47:D67)</f>
        <v>224</v>
      </c>
      <c r="E68" s="34" t="n">
        <f aca="false">SUM(E47:E67)</f>
        <v>20120</v>
      </c>
      <c r="F68" s="32"/>
      <c r="G68" s="33" t="n">
        <f aca="false">SUM(G47:G67)</f>
        <v>224</v>
      </c>
      <c r="H68" s="34" t="n">
        <f aca="false">SUM(H47:H67)</f>
        <v>12336</v>
      </c>
      <c r="I68" s="34" t="n">
        <f aca="false">SUM(I47:I67)</f>
        <v>7784</v>
      </c>
      <c r="J68" s="35" t="n">
        <f aca="false">IF(E68=0,"",I68/E68)</f>
        <v>0.386878727634195</v>
      </c>
    </row>
    <row r="70" customFormat="false" ht="19.5" hidden="false" customHeight="true" outlineLevel="0" collapsed="false">
      <c r="B70" s="3" t="s">
        <v>24</v>
      </c>
      <c r="C70" s="3"/>
      <c r="D70" s="3"/>
      <c r="E70" s="3"/>
    </row>
    <row r="71" customFormat="false" ht="15" hidden="false" customHeight="false" outlineLevel="0" collapsed="false">
      <c r="B71" s="14" t="s">
        <v>1</v>
      </c>
      <c r="C71" s="14" t="s">
        <v>25</v>
      </c>
      <c r="D71" s="14" t="s">
        <v>26</v>
      </c>
      <c r="E71" s="14" t="s">
        <v>27</v>
      </c>
    </row>
    <row r="72" customFormat="false" ht="15" hidden="false" customHeight="false" outlineLevel="0" collapsed="false">
      <c r="B72" s="5" t="s">
        <v>28</v>
      </c>
      <c r="C72" s="15" t="n">
        <f aca="false">D43</f>
        <v>568</v>
      </c>
      <c r="D72" s="16" t="n">
        <f aca="false">INPUTS!$C$48</f>
        <v>0.61</v>
      </c>
      <c r="E72" s="6" t="n">
        <f aca="false">C72*D72</f>
        <v>346.48</v>
      </c>
    </row>
    <row r="73" customFormat="false" ht="15" hidden="false" customHeight="false" outlineLevel="0" collapsed="false">
      <c r="B73" s="5" t="s">
        <v>29</v>
      </c>
      <c r="C73" s="15" t="n">
        <f aca="false">D68</f>
        <v>224</v>
      </c>
      <c r="D73" s="16" t="n">
        <f aca="false">INPUTS!$C$48</f>
        <v>0.61</v>
      </c>
      <c r="E73" s="6" t="n">
        <f aca="false">C73*D73</f>
        <v>136.64</v>
      </c>
    </row>
    <row r="74" customFormat="false" ht="15" hidden="false" customHeight="false" outlineLevel="0" collapsed="false">
      <c r="B74" s="18" t="s">
        <v>30</v>
      </c>
      <c r="C74" s="19" t="n">
        <f aca="false">SUM(C72:C73)</f>
        <v>792</v>
      </c>
      <c r="D74" s="20"/>
      <c r="E74" s="21" t="n">
        <f aca="false">SUM(E72:E73)</f>
        <v>483.12</v>
      </c>
    </row>
    <row r="76" customFormat="false" ht="15" hidden="false" customHeight="false" outlineLevel="0" collapsed="false">
      <c r="B76" s="2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6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4" min="4" style="0" width="66"/>
  </cols>
  <sheetData>
    <row r="1" customFormat="false" ht="24" hidden="false" customHeight="true" outlineLevel="0" collapsed="false">
      <c r="B1" s="1" t="s">
        <v>32</v>
      </c>
      <c r="C1" s="1"/>
      <c r="D1" s="1"/>
    </row>
    <row r="2" customFormat="false" ht="15" hidden="false" customHeight="false" outlineLevel="0" collapsed="false">
      <c r="B2" s="23" t="s">
        <v>33</v>
      </c>
    </row>
    <row r="4" customFormat="false" ht="19.5" hidden="false" customHeight="true" outlineLevel="0" collapsed="false">
      <c r="B4" s="3" t="s">
        <v>34</v>
      </c>
      <c r="C4" s="3"/>
      <c r="D4" s="3"/>
    </row>
    <row r="5" customFormat="false" ht="15" hidden="false" customHeight="false" outlineLevel="0" collapsed="false">
      <c r="B5" s="36" t="s">
        <v>35</v>
      </c>
      <c r="C5" s="37" t="s">
        <v>36</v>
      </c>
    </row>
    <row r="6" customFormat="false" ht="15" hidden="false" customHeight="false" outlineLevel="0" collapsed="false">
      <c r="B6" s="36" t="s">
        <v>37</v>
      </c>
      <c r="C6" s="37" t="s">
        <v>38</v>
      </c>
    </row>
    <row r="7" customFormat="false" ht="15" hidden="false" customHeight="false" outlineLevel="0" collapsed="false">
      <c r="B7" s="36" t="s">
        <v>39</v>
      </c>
      <c r="C7" s="37" t="s">
        <v>40</v>
      </c>
    </row>
    <row r="9" customFormat="false" ht="19.5" hidden="false" customHeight="true" outlineLevel="0" collapsed="false">
      <c r="B9" s="3" t="s">
        <v>41</v>
      </c>
      <c r="C9" s="3"/>
      <c r="D9" s="3"/>
    </row>
    <row r="10" customFormat="false" ht="15" hidden="false" customHeight="false" outlineLevel="0" collapsed="false">
      <c r="B10" s="36" t="s">
        <v>42</v>
      </c>
      <c r="C10" s="38" t="n">
        <v>500</v>
      </c>
      <c r="D10" s="23" t="s">
        <v>43</v>
      </c>
    </row>
    <row r="11" customFormat="false" ht="15" hidden="false" customHeight="false" outlineLevel="0" collapsed="false">
      <c r="B11" s="36" t="s">
        <v>44</v>
      </c>
      <c r="C11" s="38" t="n">
        <v>60</v>
      </c>
      <c r="D11" s="23" t="s">
        <v>45</v>
      </c>
    </row>
    <row r="12" customFormat="false" ht="15" hidden="false" customHeight="false" outlineLevel="0" collapsed="false">
      <c r="B12" s="36" t="s">
        <v>46</v>
      </c>
      <c r="C12" s="38" t="n">
        <v>20</v>
      </c>
      <c r="D12" s="23" t="s">
        <v>47</v>
      </c>
    </row>
    <row r="13" customFormat="false" ht="15" hidden="false" customHeight="false" outlineLevel="0" collapsed="false">
      <c r="B13" s="36" t="s">
        <v>48</v>
      </c>
      <c r="C13" s="38" t="n">
        <v>15</v>
      </c>
      <c r="D13" s="23" t="s">
        <v>49</v>
      </c>
    </row>
    <row r="14" customFormat="false" ht="15" hidden="false" customHeight="false" outlineLevel="0" collapsed="false">
      <c r="B14" s="36" t="s">
        <v>50</v>
      </c>
      <c r="C14" s="38" t="n">
        <v>5</v>
      </c>
      <c r="D14" s="23" t="s">
        <v>51</v>
      </c>
    </row>
    <row r="15" customFormat="false" ht="15" hidden="false" customHeight="false" outlineLevel="0" collapsed="false">
      <c r="B15" s="36" t="s">
        <v>52</v>
      </c>
      <c r="C15" s="38" t="n">
        <v>1</v>
      </c>
      <c r="D15" s="23" t="s">
        <v>53</v>
      </c>
    </row>
    <row r="17" customFormat="false" ht="19.5" hidden="false" customHeight="true" outlineLevel="0" collapsed="false">
      <c r="B17" s="3" t="s">
        <v>54</v>
      </c>
      <c r="C17" s="3"/>
      <c r="D17" s="3"/>
    </row>
    <row r="18" customFormat="false" ht="15" hidden="false" customHeight="false" outlineLevel="0" collapsed="false">
      <c r="B18" s="36" t="s">
        <v>55</v>
      </c>
      <c r="C18" s="38" t="n">
        <v>3</v>
      </c>
    </row>
    <row r="19" customFormat="false" ht="15" hidden="false" customHeight="false" outlineLevel="0" collapsed="false">
      <c r="B19" s="36" t="s">
        <v>56</v>
      </c>
      <c r="C19" s="38" t="n">
        <v>1</v>
      </c>
    </row>
    <row r="20" customFormat="false" ht="15" hidden="false" customHeight="false" outlineLevel="0" collapsed="false">
      <c r="B20" s="36" t="s">
        <v>57</v>
      </c>
      <c r="C20" s="38" t="n">
        <v>0</v>
      </c>
    </row>
    <row r="21" customFormat="false" ht="15" hidden="false" customHeight="false" outlineLevel="0" collapsed="false">
      <c r="B21" s="39" t="s">
        <v>58</v>
      </c>
      <c r="C21" s="40" t="n">
        <f aca="false">C18+C19+C20</f>
        <v>4</v>
      </c>
    </row>
    <row r="22" customFormat="false" ht="15" hidden="false" customHeight="false" outlineLevel="0" collapsed="false">
      <c r="B22" s="36" t="s">
        <v>59</v>
      </c>
      <c r="C22" s="38" t="n">
        <v>9</v>
      </c>
      <c r="D22" s="23" t="s">
        <v>60</v>
      </c>
    </row>
    <row r="23" customFormat="false" ht="15" hidden="false" customHeight="false" outlineLevel="0" collapsed="false">
      <c r="B23" s="39" t="s">
        <v>61</v>
      </c>
      <c r="C23" s="40" t="n">
        <f aca="false">ROUND(C22*4.33,0)</f>
        <v>39</v>
      </c>
      <c r="D23" s="23" t="s">
        <v>62</v>
      </c>
    </row>
    <row r="24" customFormat="false" ht="15" hidden="false" customHeight="false" outlineLevel="0" collapsed="false">
      <c r="B24" s="39" t="s">
        <v>63</v>
      </c>
      <c r="C24" s="41" t="n">
        <f aca="false">ROUND((MAX(1,C10)/250)^(1/3)*(MAX(1,C22)/6)^(1/2)*(MAX(1,C18)/3)^(1/4),2)</f>
        <v>1.54</v>
      </c>
      <c r="D24" s="23" t="s">
        <v>64</v>
      </c>
    </row>
    <row r="26" customFormat="false" ht="19.5" hidden="false" customHeight="true" outlineLevel="0" collapsed="false">
      <c r="B26" s="3" t="s">
        <v>65</v>
      </c>
      <c r="C26" s="3"/>
      <c r="D26" s="3"/>
    </row>
    <row r="27" customFormat="false" ht="15" hidden="false" customHeight="false" outlineLevel="0" collapsed="false">
      <c r="B27" s="36" t="s">
        <v>66</v>
      </c>
      <c r="C27" s="38" t="n">
        <v>3</v>
      </c>
      <c r="D27" s="23" t="s">
        <v>67</v>
      </c>
    </row>
    <row r="28" customFormat="false" ht="15" hidden="false" customHeight="false" outlineLevel="0" collapsed="false">
      <c r="B28" s="36" t="s">
        <v>68</v>
      </c>
      <c r="C28" s="38" t="n">
        <v>2</v>
      </c>
    </row>
    <row r="29" customFormat="false" ht="15" hidden="false" customHeight="false" outlineLevel="0" collapsed="false">
      <c r="B29" s="36" t="s">
        <v>69</v>
      </c>
      <c r="C29" s="38" t="n">
        <v>1</v>
      </c>
      <c r="D29" s="23" t="s">
        <v>70</v>
      </c>
    </row>
    <row r="30" customFormat="false" ht="15" hidden="false" customHeight="false" outlineLevel="0" collapsed="false">
      <c r="B30" s="36" t="s">
        <v>71</v>
      </c>
      <c r="C30" s="38" t="n">
        <v>1</v>
      </c>
    </row>
    <row r="32" customFormat="false" ht="19.5" hidden="false" customHeight="true" outlineLevel="0" collapsed="false">
      <c r="B32" s="3" t="s">
        <v>72</v>
      </c>
      <c r="C32" s="3"/>
      <c r="D32" s="3"/>
    </row>
    <row r="33" customFormat="false" ht="15" hidden="false" customHeight="false" outlineLevel="0" collapsed="false">
      <c r="B33" s="39" t="s">
        <v>73</v>
      </c>
      <c r="C33" s="42" t="n">
        <v>60</v>
      </c>
      <c r="D33" s="23" t="s">
        <v>74</v>
      </c>
    </row>
    <row r="34" customFormat="false" ht="15" hidden="false" customHeight="false" outlineLevel="0" collapsed="false">
      <c r="B34" s="39" t="s">
        <v>75</v>
      </c>
      <c r="C34" s="42" t="n">
        <v>42</v>
      </c>
      <c r="D34" s="23" t="s">
        <v>76</v>
      </c>
    </row>
    <row r="35" customFormat="false" ht="15" hidden="false" customHeight="false" outlineLevel="0" collapsed="false">
      <c r="B35" s="36" t="s">
        <v>77</v>
      </c>
      <c r="C35" s="42" t="n">
        <v>90</v>
      </c>
    </row>
    <row r="36" customFormat="false" ht="15" hidden="false" customHeight="false" outlineLevel="0" collapsed="false">
      <c r="B36" s="36" t="s">
        <v>78</v>
      </c>
      <c r="C36" s="42" t="n">
        <v>65</v>
      </c>
    </row>
    <row r="37" customFormat="false" ht="15" hidden="false" customHeight="false" outlineLevel="0" collapsed="false">
      <c r="B37" s="36" t="s">
        <v>79</v>
      </c>
      <c r="C37" s="42" t="n">
        <v>100</v>
      </c>
    </row>
    <row r="38" customFormat="false" ht="15" hidden="false" customHeight="false" outlineLevel="0" collapsed="false">
      <c r="B38" s="36" t="s">
        <v>80</v>
      </c>
      <c r="C38" s="42" t="n">
        <v>65</v>
      </c>
    </row>
    <row r="39" customFormat="false" ht="15" hidden="false" customHeight="false" outlineLevel="0" collapsed="false">
      <c r="B39" s="36" t="s">
        <v>81</v>
      </c>
      <c r="C39" s="43" t="n">
        <v>1.5</v>
      </c>
      <c r="D39" s="23" t="s">
        <v>82</v>
      </c>
    </row>
    <row r="41" customFormat="false" ht="19.5" hidden="false" customHeight="true" outlineLevel="0" collapsed="false">
      <c r="B41" s="3" t="s">
        <v>83</v>
      </c>
      <c r="C41" s="3"/>
      <c r="D41" s="3"/>
    </row>
    <row r="42" customFormat="false" ht="15" hidden="false" customHeight="false" outlineLevel="0" collapsed="false">
      <c r="B42" s="36" t="s">
        <v>84</v>
      </c>
      <c r="C42" s="38" t="n">
        <v>12</v>
      </c>
      <c r="D42" s="23" t="s">
        <v>85</v>
      </c>
    </row>
    <row r="43" customFormat="false" ht="15" hidden="false" customHeight="false" outlineLevel="0" collapsed="false">
      <c r="B43" s="36" t="s">
        <v>86</v>
      </c>
      <c r="C43" s="38" t="n">
        <v>8</v>
      </c>
      <c r="D43" s="23" t="s">
        <v>87</v>
      </c>
    </row>
    <row r="44" customFormat="false" ht="15" hidden="false" customHeight="false" outlineLevel="0" collapsed="false">
      <c r="B44" s="36" t="s">
        <v>88</v>
      </c>
      <c r="C44" s="38" t="n">
        <v>2</v>
      </c>
    </row>
    <row r="45" customFormat="false" ht="15" hidden="false" customHeight="false" outlineLevel="0" collapsed="false">
      <c r="B45" s="36" t="s">
        <v>89</v>
      </c>
      <c r="C45" s="38" t="n">
        <v>8</v>
      </c>
    </row>
    <row r="47" customFormat="false" ht="19.5" hidden="false" customHeight="true" outlineLevel="0" collapsed="false">
      <c r="B47" s="3" t="s">
        <v>90</v>
      </c>
      <c r="C47" s="3"/>
      <c r="D47" s="3"/>
    </row>
    <row r="48" customFormat="false" ht="15" hidden="false" customHeight="false" outlineLevel="0" collapsed="false">
      <c r="B48" s="39" t="s">
        <v>91</v>
      </c>
      <c r="C48" s="42" t="n">
        <v>0.61</v>
      </c>
      <c r="D48" s="23" t="s">
        <v>92</v>
      </c>
    </row>
    <row r="49" customFormat="false" ht="15" hidden="false" customHeight="false" outlineLevel="0" collapsed="false">
      <c r="B49" s="39" t="s">
        <v>93</v>
      </c>
      <c r="C49" s="44" t="n">
        <v>0.02</v>
      </c>
      <c r="D49" s="23" t="s">
        <v>94</v>
      </c>
    </row>
    <row r="50" customFormat="false" ht="15" hidden="false" customHeight="false" outlineLevel="0" collapsed="false">
      <c r="B50" s="36" t="s">
        <v>95</v>
      </c>
      <c r="C50" s="44" t="n">
        <v>0.05</v>
      </c>
      <c r="D50" s="23" t="s">
        <v>96</v>
      </c>
    </row>
    <row r="51" customFormat="false" ht="15" hidden="false" customHeight="false" outlineLevel="0" collapsed="false">
      <c r="B51" s="36" t="s">
        <v>97</v>
      </c>
      <c r="C51" s="37" t="s">
        <v>98</v>
      </c>
    </row>
    <row r="53" customFormat="false" ht="19.5" hidden="false" customHeight="true" outlineLevel="0" collapsed="false">
      <c r="B53" s="3" t="s">
        <v>99</v>
      </c>
      <c r="C53" s="3"/>
      <c r="D53" s="3"/>
    </row>
    <row r="54" customFormat="false" ht="15" hidden="false" customHeight="false" outlineLevel="0" collapsed="false">
      <c r="B54" s="39" t="s">
        <v>100</v>
      </c>
      <c r="D54" s="23" t="s">
        <v>101</v>
      </c>
    </row>
    <row r="55" customFormat="false" ht="15" hidden="false" customHeight="false" outlineLevel="0" collapsed="false">
      <c r="B55" s="36" t="s">
        <v>102</v>
      </c>
      <c r="C55" s="37" t="s">
        <v>103</v>
      </c>
    </row>
    <row r="56" customFormat="false" ht="15" hidden="false" customHeight="false" outlineLevel="0" collapsed="false">
      <c r="B56" s="36" t="s">
        <v>104</v>
      </c>
      <c r="C56" s="37" t="s">
        <v>105</v>
      </c>
    </row>
    <row r="57" customFormat="false" ht="15" hidden="false" customHeight="false" outlineLevel="0" collapsed="false">
      <c r="B57" s="36" t="s">
        <v>106</v>
      </c>
      <c r="C57" s="37" t="s">
        <v>107</v>
      </c>
    </row>
    <row r="58" customFormat="false" ht="15" hidden="false" customHeight="false" outlineLevel="0" collapsed="false">
      <c r="B58" s="36" t="s">
        <v>108</v>
      </c>
      <c r="C58" s="37" t="s">
        <v>109</v>
      </c>
    </row>
    <row r="59" customFormat="false" ht="15" hidden="false" customHeight="false" outlineLevel="0" collapsed="false">
      <c r="B59" s="36" t="s">
        <v>110</v>
      </c>
      <c r="C59" s="37" t="s">
        <v>111</v>
      </c>
    </row>
    <row r="60" customFormat="false" ht="15" hidden="false" customHeight="false" outlineLevel="0" collapsed="false">
      <c r="B60" s="36" t="s">
        <v>112</v>
      </c>
      <c r="C60" s="37" t="s">
        <v>113</v>
      </c>
    </row>
    <row r="61" customFormat="false" ht="15" hidden="false" customHeight="false" outlineLevel="0" collapsed="false">
      <c r="B61" s="36" t="s">
        <v>114</v>
      </c>
      <c r="C61" s="37" t="s">
        <v>115</v>
      </c>
    </row>
    <row r="62" customFormat="false" ht="15" hidden="false" customHeight="false" outlineLevel="0" collapsed="false">
      <c r="B62" s="36" t="s">
        <v>116</v>
      </c>
      <c r="C62" s="37" t="s">
        <v>117</v>
      </c>
    </row>
    <row r="63" customFormat="false" ht="15" hidden="false" customHeight="false" outlineLevel="0" collapsed="false">
      <c r="B63" s="36" t="s">
        <v>118</v>
      </c>
      <c r="C63" s="37" t="s">
        <v>119</v>
      </c>
    </row>
    <row r="64" customFormat="false" ht="15" hidden="false" customHeight="false" outlineLevel="0" collapsed="false">
      <c r="B64" s="36" t="s">
        <v>120</v>
      </c>
      <c r="C64" s="37" t="s">
        <v>121</v>
      </c>
    </row>
    <row r="65" customFormat="false" ht="15" hidden="false" customHeight="false" outlineLevel="0" collapsed="false">
      <c r="B65" s="39" t="s">
        <v>122</v>
      </c>
    </row>
    <row r="66" customFormat="false" ht="15" hidden="false" customHeight="false" outlineLevel="0" collapsed="false">
      <c r="B66" s="36" t="s">
        <v>123</v>
      </c>
      <c r="C66" s="37" t="s">
        <v>124</v>
      </c>
    </row>
    <row r="67" customFormat="false" ht="15" hidden="false" customHeight="false" outlineLevel="0" collapsed="false">
      <c r="B67" s="36" t="s">
        <v>125</v>
      </c>
      <c r="C67" s="37" t="s">
        <v>126</v>
      </c>
    </row>
    <row r="68" customFormat="false" ht="15" hidden="false" customHeight="false" outlineLevel="0" collapsed="false">
      <c r="B68" s="36" t="s">
        <v>127</v>
      </c>
      <c r="C68" s="37" t="s">
        <v>128</v>
      </c>
    </row>
    <row r="69" customFormat="false" ht="15" hidden="false" customHeight="false" outlineLevel="0" collapsed="false">
      <c r="B69" s="36" t="s">
        <v>129</v>
      </c>
      <c r="C69" s="37" t="s">
        <v>130</v>
      </c>
    </row>
    <row r="70" customFormat="false" ht="15" hidden="false" customHeight="false" outlineLevel="0" collapsed="false">
      <c r="B70" s="36" t="s">
        <v>131</v>
      </c>
      <c r="C70" s="37" t="s">
        <v>132</v>
      </c>
    </row>
    <row r="71" customFormat="false" ht="15" hidden="false" customHeight="false" outlineLevel="0" collapsed="false">
      <c r="B71" s="36" t="s">
        <v>133</v>
      </c>
      <c r="C71" s="37" t="s">
        <v>134</v>
      </c>
    </row>
    <row r="72" customFormat="false" ht="15" hidden="false" customHeight="false" outlineLevel="0" collapsed="false">
      <c r="B72" s="36" t="s">
        <v>135</v>
      </c>
      <c r="C72" s="37" t="s">
        <v>136</v>
      </c>
    </row>
    <row r="73" customFormat="false" ht="15" hidden="false" customHeight="false" outlineLevel="0" collapsed="false">
      <c r="B73" s="36" t="s">
        <v>137</v>
      </c>
      <c r="C73" s="37" t="s">
        <v>138</v>
      </c>
    </row>
    <row r="74" customFormat="false" ht="15" hidden="false" customHeight="false" outlineLevel="0" collapsed="false">
      <c r="B74" s="36" t="s">
        <v>139</v>
      </c>
      <c r="C74" s="37" t="s">
        <v>140</v>
      </c>
    </row>
    <row r="75" customFormat="false" ht="15" hidden="false" customHeight="false" outlineLevel="0" collapsed="false">
      <c r="B75" s="36" t="s">
        <v>141</v>
      </c>
      <c r="C75" s="37" t="s">
        <v>142</v>
      </c>
    </row>
  </sheetData>
  <dataValidations count="1">
    <dataValidation allowBlank="false" errorStyle="stop" operator="between" showDropDown="false" showErrorMessage="false" showInputMessage="false" sqref="C5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5" min="14" style="0" width="3"/>
    <col collapsed="false" customWidth="true" hidden="false" outlineLevel="0" max="16" min="16" style="0" width="34"/>
    <col collapsed="false" customWidth="true" hidden="false" outlineLevel="0" max="17" min="17" style="0" width="9"/>
    <col collapsed="false" customWidth="true" hidden="false" outlineLevel="0" max="19" min="18" style="0" width="13"/>
    <col collapsed="false" customWidth="true" hidden="false" outlineLevel="0" max="20" min="20" style="0" width="6"/>
    <col collapsed="false" customWidth="true" hidden="false" outlineLevel="0" max="21" min="21" style="0" width="8"/>
  </cols>
  <sheetData>
    <row r="1" customFormat="false" ht="24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3" t="s">
        <v>144</v>
      </c>
    </row>
    <row r="3" customFormat="false" ht="19.5" hidden="false" customHeight="true" outlineLevel="0" collapsed="false">
      <c r="A3" s="14" t="s">
        <v>145</v>
      </c>
      <c r="B3" s="14" t="s">
        <v>146</v>
      </c>
      <c r="C3" s="14" t="s">
        <v>147</v>
      </c>
      <c r="D3" s="14" t="s">
        <v>148</v>
      </c>
      <c r="E3" s="14" t="s">
        <v>149</v>
      </c>
      <c r="F3" s="14" t="s">
        <v>150</v>
      </c>
      <c r="G3" s="14" t="s">
        <v>151</v>
      </c>
      <c r="H3" s="14" t="s">
        <v>152</v>
      </c>
      <c r="I3" s="14" t="s">
        <v>153</v>
      </c>
      <c r="J3" s="14" t="s">
        <v>154</v>
      </c>
      <c r="K3" s="14" t="s">
        <v>155</v>
      </c>
      <c r="L3" s="14" t="s">
        <v>156</v>
      </c>
      <c r="M3" s="14" t="s">
        <v>157</v>
      </c>
      <c r="P3" s="45" t="s">
        <v>147</v>
      </c>
      <c r="Q3" s="45" t="s">
        <v>10</v>
      </c>
      <c r="R3" s="45" t="s">
        <v>2</v>
      </c>
      <c r="S3" s="45" t="s">
        <v>3</v>
      </c>
      <c r="T3" s="45" t="s">
        <v>158</v>
      </c>
      <c r="U3" s="45" t="s">
        <v>148</v>
      </c>
    </row>
    <row r="4" customFormat="false" ht="23.85" hidden="false" customHeight="false" outlineLevel="0" collapsed="false">
      <c r="A4" s="46" t="n">
        <v>1</v>
      </c>
      <c r="B4" s="25" t="s">
        <v>159</v>
      </c>
      <c r="C4" s="47" t="s">
        <v>160</v>
      </c>
      <c r="D4" s="47" t="s">
        <v>161</v>
      </c>
      <c r="E4" s="48" t="s">
        <v>162</v>
      </c>
      <c r="F4" s="25" t="s">
        <v>163</v>
      </c>
      <c r="G4" s="27" t="n">
        <f aca="false">ROUND(1*INPUTS!$C$23,0)</f>
        <v>39</v>
      </c>
      <c r="H4" s="49"/>
      <c r="I4" s="27" t="n">
        <f aca="false">IF(ISNUMBER(H4),H4,G4)</f>
        <v>39</v>
      </c>
      <c r="J4" s="26" t="n">
        <f aca="false">IF(D4="Manager",INPUTS!$C$35,IF(D4="Coordinator",INPUTS!$C$36,INPUTS!$C$29*INPUTS!$C$35+INPUTS!$C$30*INPUTS!$C$36))</f>
        <v>65</v>
      </c>
      <c r="K4" s="26" t="n">
        <f aca="false">IF(D4="Manager",INPUTS!$C$33,IF(D4="Coordinator",INPUTS!$C$34,INPUTS!$C$29*INPUTS!$C$33+INPUTS!$C$30*INPUTS!$C$34))</f>
        <v>42</v>
      </c>
      <c r="L4" s="28" t="n">
        <f aca="false">IF(E4="Yes",I4*J4,0)</f>
        <v>2535</v>
      </c>
      <c r="M4" s="28" t="n">
        <f aca="false">IF(E4="Yes",I4*K4,0)</f>
        <v>1638</v>
      </c>
      <c r="P4" s="5" t="s">
        <v>160</v>
      </c>
      <c r="Q4" s="15" t="n">
        <f aca="false">SUMIFS($I$4:$I$59,$C$4:$C$59,$P4,$E$4:$E$59,"Yes")</f>
        <v>125</v>
      </c>
      <c r="R4" s="6" t="n">
        <f aca="false">SUMIF($C$4:$C$59,$P4,$L$4:$L$59)</f>
        <v>12810</v>
      </c>
      <c r="S4" s="6" t="n">
        <f aca="false">SUMIF($C$4:$C$59,$P4,$M$4:$M$59)</f>
        <v>8436</v>
      </c>
      <c r="T4" s="5" t="n">
        <f aca="false">IF(Q4&gt;0,COUNTIF($Q$4:Q4,"&gt;0"),"")</f>
        <v>1</v>
      </c>
      <c r="U4" s="5" t="str">
        <f aca="false">IF(Q4=0,"",IF(SUMIFS($I$4:$I$59,$C$4:$C$59,$P4,$E$4:$E$59,"Yes",$D$4:$D$59,"Manager")=Q4,"PM",IF(SUMIFS($I$4:$I$59,$C$4:$C$59,$P4,$E$4:$E$59,"Yes",$D$4:$D$59,"Coordinator")=Q4,"EC","PM/EC")))</f>
        <v>PM/EC</v>
      </c>
    </row>
    <row r="5" customFormat="false" ht="23.85" hidden="false" customHeight="false" outlineLevel="0" collapsed="false">
      <c r="A5" s="46" t="n">
        <v>2</v>
      </c>
      <c r="B5" s="25" t="s">
        <v>164</v>
      </c>
      <c r="C5" s="47" t="s">
        <v>160</v>
      </c>
      <c r="D5" s="47" t="s">
        <v>165</v>
      </c>
      <c r="E5" s="48" t="s">
        <v>162</v>
      </c>
      <c r="F5" s="25" t="s">
        <v>166</v>
      </c>
      <c r="G5" s="27" t="n">
        <f aca="false">ROUND(1*INPUTS!$C$23,0)</f>
        <v>39</v>
      </c>
      <c r="H5" s="49"/>
      <c r="I5" s="27" t="n">
        <f aca="false">IF(ISNUMBER(H5),H5,G5)</f>
        <v>39</v>
      </c>
      <c r="J5" s="26" t="n">
        <f aca="false">IF(D5="Manager",INPUTS!$C$35,IF(D5="Coordinator",INPUTS!$C$36,INPUTS!$C$29*INPUTS!$C$35+INPUTS!$C$30*INPUTS!$C$36))</f>
        <v>155</v>
      </c>
      <c r="K5" s="26" t="n">
        <f aca="false">IF(D5="Manager",INPUTS!$C$33,IF(D5="Coordinator",INPUTS!$C$34,INPUTS!$C$29*INPUTS!$C$33+INPUTS!$C$30*INPUTS!$C$34))</f>
        <v>102</v>
      </c>
      <c r="L5" s="28" t="n">
        <f aca="false">IF(E5="Yes",I5*J5,0)</f>
        <v>6045</v>
      </c>
      <c r="M5" s="28" t="n">
        <f aca="false">IF(E5="Yes",I5*K5,0)</f>
        <v>3978</v>
      </c>
      <c r="P5" s="5" t="s">
        <v>167</v>
      </c>
      <c r="Q5" s="15" t="n">
        <f aca="false">SUMIFS($I$4:$I$59,$C$4:$C$59,$P5,$E$4:$E$59,"Yes")</f>
        <v>0</v>
      </c>
      <c r="R5" s="6" t="n">
        <f aca="false">SUMIF($C$4:$C$59,$P5,$L$4:$L$59)</f>
        <v>0</v>
      </c>
      <c r="S5" s="6" t="n">
        <f aca="false">SUMIF($C$4:$C$59,$P5,$M$4:$M$59)</f>
        <v>0</v>
      </c>
      <c r="T5" s="5" t="str">
        <f aca="false">IF(Q5&gt;0,COUNTIF($Q$4:Q5,"&gt;0"),"")</f>
        <v/>
      </c>
      <c r="U5" s="5" t="str">
        <f aca="false">IF(Q5=0,"",IF(SUMIFS($I$4:$I$59,$C$4:$C$59,$P5,$E$4:$E$59,"Yes",$D$4:$D$59,"Manager")=Q5,"PM",IF(SUMIFS($I$4:$I$59,$C$4:$C$59,$P5,$E$4:$E$59,"Yes",$D$4:$D$59,"Coordinator")=Q5,"EC","PM/EC")))</f>
        <v/>
      </c>
    </row>
    <row r="6" customFormat="false" ht="15" hidden="false" customHeight="false" outlineLevel="0" collapsed="false">
      <c r="A6" s="46" t="n">
        <v>3</v>
      </c>
      <c r="B6" s="25" t="s">
        <v>168</v>
      </c>
      <c r="C6" s="47" t="s">
        <v>160</v>
      </c>
      <c r="D6" s="47" t="s">
        <v>169</v>
      </c>
      <c r="E6" s="48" t="s">
        <v>162</v>
      </c>
      <c r="F6" s="25" t="s">
        <v>170</v>
      </c>
      <c r="G6" s="27" t="n">
        <f aca="false">ROUND(5*INPUTS!$C$24,0)</f>
        <v>8</v>
      </c>
      <c r="H6" s="49"/>
      <c r="I6" s="27" t="n">
        <f aca="false">IF(ISNUMBER(H6),H6,G6)</f>
        <v>8</v>
      </c>
      <c r="J6" s="26" t="n">
        <f aca="false">IF(D6="Manager",INPUTS!$C$35,IF(D6="Coordinator",INPUTS!$C$36,INPUTS!$C$29*INPUTS!$C$35+INPUTS!$C$30*INPUTS!$C$36))</f>
        <v>90</v>
      </c>
      <c r="K6" s="26" t="n">
        <f aca="false">IF(D6="Manager",INPUTS!$C$33,IF(D6="Coordinator",INPUTS!$C$34,INPUTS!$C$29*INPUTS!$C$33+INPUTS!$C$30*INPUTS!$C$34))</f>
        <v>60</v>
      </c>
      <c r="L6" s="28" t="n">
        <f aca="false">IF(E6="Yes",I6*J6,0)</f>
        <v>720</v>
      </c>
      <c r="M6" s="28" t="n">
        <f aca="false">IF(E6="Yes",I6*K6,0)</f>
        <v>480</v>
      </c>
      <c r="P6" s="5" t="s">
        <v>171</v>
      </c>
      <c r="Q6" s="15" t="n">
        <f aca="false">SUMIFS($I$4:$I$59,$C$4:$C$59,$P6,$E$4:$E$59,"Yes")</f>
        <v>40</v>
      </c>
      <c r="R6" s="6" t="n">
        <f aca="false">SUMIF($C$4:$C$59,$P6,$L$4:$L$59)</f>
        <v>3600</v>
      </c>
      <c r="S6" s="6" t="n">
        <f aca="false">SUMIF($C$4:$C$59,$P6,$M$4:$M$59)</f>
        <v>2400</v>
      </c>
      <c r="T6" s="5" t="n">
        <f aca="false">IF(Q6&gt;0,COUNTIF($Q$4:Q6,"&gt;0"),"")</f>
        <v>2</v>
      </c>
      <c r="U6" s="5" t="str">
        <f aca="false">IF(Q6=0,"",IF(SUMIFS($I$4:$I$59,$C$4:$C$59,$P6,$E$4:$E$59,"Yes",$D$4:$D$59,"Manager")=Q6,"PM",IF(SUMIFS($I$4:$I$59,$C$4:$C$59,$P6,$E$4:$E$59,"Yes",$D$4:$D$59,"Coordinator")=Q6,"EC","PM/EC")))</f>
        <v>PM</v>
      </c>
    </row>
    <row r="7" customFormat="false" ht="23.85" hidden="false" customHeight="false" outlineLevel="0" collapsed="false">
      <c r="A7" s="46" t="n">
        <v>4</v>
      </c>
      <c r="B7" s="25" t="s">
        <v>172</v>
      </c>
      <c r="C7" s="47" t="s">
        <v>160</v>
      </c>
      <c r="D7" s="47" t="s">
        <v>169</v>
      </c>
      <c r="E7" s="48" t="s">
        <v>162</v>
      </c>
      <c r="F7" s="25" t="s">
        <v>163</v>
      </c>
      <c r="G7" s="27" t="n">
        <f aca="false">ROUND(1*INPUTS!$C$23,0)</f>
        <v>39</v>
      </c>
      <c r="H7" s="49"/>
      <c r="I7" s="27" t="n">
        <f aca="false">IF(ISNUMBER(H7),H7,G7)</f>
        <v>39</v>
      </c>
      <c r="J7" s="26" t="n">
        <f aca="false">IF(D7="Manager",INPUTS!$C$35,IF(D7="Coordinator",INPUTS!$C$36,INPUTS!$C$29*INPUTS!$C$35+INPUTS!$C$30*INPUTS!$C$36))</f>
        <v>90</v>
      </c>
      <c r="K7" s="26" t="n">
        <f aca="false">IF(D7="Manager",INPUTS!$C$33,IF(D7="Coordinator",INPUTS!$C$34,INPUTS!$C$29*INPUTS!$C$33+INPUTS!$C$30*INPUTS!$C$34))</f>
        <v>60</v>
      </c>
      <c r="L7" s="28" t="n">
        <f aca="false">IF(E7="Yes",I7*J7,0)</f>
        <v>3510</v>
      </c>
      <c r="M7" s="28" t="n">
        <f aca="false">IF(E7="Yes",I7*K7,0)</f>
        <v>2340</v>
      </c>
      <c r="P7" s="5" t="s">
        <v>173</v>
      </c>
      <c r="Q7" s="15" t="n">
        <f aca="false">SUMIFS($I$4:$I$59,$C$4:$C$59,$P7,$E$4:$E$59,"Yes")</f>
        <v>45</v>
      </c>
      <c r="R7" s="6" t="n">
        <f aca="false">SUMIF($C$4:$C$59,$P7,$L$4:$L$59)</f>
        <v>4050</v>
      </c>
      <c r="S7" s="6" t="n">
        <f aca="false">SUMIF($C$4:$C$59,$P7,$M$4:$M$59)</f>
        <v>2700</v>
      </c>
      <c r="T7" s="5" t="n">
        <f aca="false">IF(Q7&gt;0,COUNTIF($Q$4:Q7,"&gt;0"),"")</f>
        <v>3</v>
      </c>
      <c r="U7" s="5" t="str">
        <f aca="false">IF(Q7=0,"",IF(SUMIFS($I$4:$I$59,$C$4:$C$59,$P7,$E$4:$E$59,"Yes",$D$4:$D$59,"Manager")=Q7,"PM",IF(SUMIFS($I$4:$I$59,$C$4:$C$59,$P7,$E$4:$E$59,"Yes",$D$4:$D$59,"Coordinator")=Q7,"EC","PM/EC")))</f>
        <v>PM</v>
      </c>
    </row>
    <row r="8" customFormat="false" ht="15" hidden="false" customHeight="false" outlineLevel="0" collapsed="false">
      <c r="A8" s="50" t="n">
        <v>5</v>
      </c>
      <c r="B8" s="51" t="s">
        <v>174</v>
      </c>
      <c r="C8" s="52" t="s">
        <v>167</v>
      </c>
      <c r="D8" s="52" t="s">
        <v>169</v>
      </c>
      <c r="E8" s="53" t="s">
        <v>98</v>
      </c>
      <c r="F8" s="51" t="s">
        <v>175</v>
      </c>
      <c r="G8" s="54" t="n">
        <f aca="false">ROUND(6*INPUTS!$C$24,0)</f>
        <v>9</v>
      </c>
      <c r="H8" s="55"/>
      <c r="I8" s="54" t="n">
        <f aca="false">IF(ISNUMBER(H8),H8,G8)</f>
        <v>9</v>
      </c>
      <c r="J8" s="56" t="n">
        <f aca="false">IF(D8="Manager",INPUTS!$C$35,IF(D8="Coordinator",INPUTS!$C$36,INPUTS!$C$29*INPUTS!$C$35+INPUTS!$C$30*INPUTS!$C$36))</f>
        <v>90</v>
      </c>
      <c r="K8" s="56" t="n">
        <f aca="false">IF(D8="Manager",INPUTS!$C$33,IF(D8="Coordinator",INPUTS!$C$34,INPUTS!$C$29*INPUTS!$C$33+INPUTS!$C$30*INPUTS!$C$34))</f>
        <v>60</v>
      </c>
      <c r="L8" s="57" t="n">
        <f aca="false">IF(E8="Yes",I8*J8,0)</f>
        <v>0</v>
      </c>
      <c r="M8" s="57" t="n">
        <f aca="false">IF(E8="Yes",I8*K8,0)</f>
        <v>0</v>
      </c>
      <c r="P8" s="5" t="s">
        <v>176</v>
      </c>
      <c r="Q8" s="15" t="n">
        <f aca="false">SUMIFS($I$4:$I$59,$C$4:$C$59,$P8,$E$4:$E$59,"Yes")</f>
        <v>34</v>
      </c>
      <c r="R8" s="6" t="n">
        <f aca="false">SUMIF($C$4:$C$59,$P8,$L$4:$L$59)</f>
        <v>3060</v>
      </c>
      <c r="S8" s="6" t="n">
        <f aca="false">SUMIF($C$4:$C$59,$P8,$M$4:$M$59)</f>
        <v>2040</v>
      </c>
      <c r="T8" s="5" t="n">
        <f aca="false">IF(Q8&gt;0,COUNTIF($Q$4:Q8,"&gt;0"),"")</f>
        <v>4</v>
      </c>
      <c r="U8" s="5" t="str">
        <f aca="false">IF(Q8=0,"",IF(SUMIFS($I$4:$I$59,$C$4:$C$59,$P8,$E$4:$E$59,"Yes",$D$4:$D$59,"Manager")=Q8,"PM",IF(SUMIFS($I$4:$I$59,$C$4:$C$59,$P8,$E$4:$E$59,"Yes",$D$4:$D$59,"Coordinator")=Q8,"EC","PM/EC")))</f>
        <v>PM</v>
      </c>
    </row>
    <row r="9" customFormat="false" ht="15" hidden="false" customHeight="false" outlineLevel="0" collapsed="false">
      <c r="A9" s="46" t="n">
        <v>6</v>
      </c>
      <c r="B9" s="25" t="s">
        <v>177</v>
      </c>
      <c r="C9" s="47" t="s">
        <v>167</v>
      </c>
      <c r="D9" s="47" t="s">
        <v>169</v>
      </c>
      <c r="E9" s="48" t="s">
        <v>98</v>
      </c>
      <c r="F9" s="25" t="s">
        <v>175</v>
      </c>
      <c r="G9" s="27" t="n">
        <f aca="false">ROUND(6*INPUTS!$C$24,0)</f>
        <v>9</v>
      </c>
      <c r="H9" s="49"/>
      <c r="I9" s="27" t="n">
        <f aca="false">IF(ISNUMBER(H9),H9,G9)</f>
        <v>9</v>
      </c>
      <c r="J9" s="26" t="n">
        <f aca="false">IF(D9="Manager",INPUTS!$C$35,IF(D9="Coordinator",INPUTS!$C$36,INPUTS!$C$29*INPUTS!$C$35+INPUTS!$C$30*INPUTS!$C$36))</f>
        <v>90</v>
      </c>
      <c r="K9" s="26" t="n">
        <f aca="false">IF(D9="Manager",INPUTS!$C$33,IF(D9="Coordinator",INPUTS!$C$34,INPUTS!$C$29*INPUTS!$C$33+INPUTS!$C$30*INPUTS!$C$34))</f>
        <v>60</v>
      </c>
      <c r="L9" s="28" t="n">
        <f aca="false">IF(E9="Yes",I9*J9,0)</f>
        <v>0</v>
      </c>
      <c r="M9" s="28" t="n">
        <f aca="false">IF(E9="Yes",I9*K9,0)</f>
        <v>0</v>
      </c>
      <c r="P9" s="5" t="s">
        <v>178</v>
      </c>
      <c r="Q9" s="15" t="n">
        <f aca="false">SUMIFS($I$4:$I$59,$C$4:$C$59,$P9,$E$4:$E$59,"Yes")</f>
        <v>82</v>
      </c>
      <c r="R9" s="6" t="n">
        <f aca="false">SUMIF($C$4:$C$59,$P9,$L$4:$L$59)</f>
        <v>5330</v>
      </c>
      <c r="S9" s="6" t="n">
        <f aca="false">SUMIF($C$4:$C$59,$P9,$M$4:$M$59)</f>
        <v>3444</v>
      </c>
      <c r="T9" s="5" t="n">
        <f aca="false">IF(Q9&gt;0,COUNTIF($Q$4:Q9,"&gt;0"),"")</f>
        <v>5</v>
      </c>
      <c r="U9" s="5" t="str">
        <f aca="false">IF(Q9=0,"",IF(SUMIFS($I$4:$I$59,$C$4:$C$59,$P9,$E$4:$E$59,"Yes",$D$4:$D$59,"Manager")=Q9,"PM",IF(SUMIFS($I$4:$I$59,$C$4:$C$59,$P9,$E$4:$E$59,"Yes",$D$4:$D$59,"Coordinator")=Q9,"EC","PM/EC")))</f>
        <v>EC</v>
      </c>
    </row>
    <row r="10" customFormat="false" ht="15" hidden="false" customHeight="false" outlineLevel="0" collapsed="false">
      <c r="A10" s="46" t="n">
        <v>7</v>
      </c>
      <c r="B10" s="25" t="s">
        <v>179</v>
      </c>
      <c r="C10" s="47" t="s">
        <v>167</v>
      </c>
      <c r="D10" s="47" t="s">
        <v>169</v>
      </c>
      <c r="E10" s="48" t="s">
        <v>98</v>
      </c>
      <c r="F10" s="25" t="s">
        <v>180</v>
      </c>
      <c r="G10" s="27" t="n">
        <f aca="false">ROUND(10*INPUTS!$C$15,0)</f>
        <v>10</v>
      </c>
      <c r="H10" s="49"/>
      <c r="I10" s="27" t="n">
        <f aca="false">IF(ISNUMBER(H10),H10,G10)</f>
        <v>10</v>
      </c>
      <c r="J10" s="26" t="n">
        <f aca="false">IF(D10="Manager",INPUTS!$C$35,IF(D10="Coordinator",INPUTS!$C$36,INPUTS!$C$29*INPUTS!$C$35+INPUTS!$C$30*INPUTS!$C$36))</f>
        <v>90</v>
      </c>
      <c r="K10" s="26" t="n">
        <f aca="false">IF(D10="Manager",INPUTS!$C$33,IF(D10="Coordinator",INPUTS!$C$34,INPUTS!$C$29*INPUTS!$C$33+INPUTS!$C$30*INPUTS!$C$34))</f>
        <v>60</v>
      </c>
      <c r="L10" s="28" t="n">
        <f aca="false">IF(E10="Yes",I10*J10,0)</f>
        <v>0</v>
      </c>
      <c r="M10" s="28" t="n">
        <f aca="false">IF(E10="Yes",I10*K10,0)</f>
        <v>0</v>
      </c>
      <c r="P10" s="5" t="s">
        <v>181</v>
      </c>
      <c r="Q10" s="15" t="n">
        <f aca="false">SUMIFS($I$4:$I$59,$C$4:$C$59,$P10,$E$4:$E$59,"Yes")</f>
        <v>0</v>
      </c>
      <c r="R10" s="6" t="n">
        <f aca="false">SUMIF($C$4:$C$59,$P10,$L$4:$L$59)</f>
        <v>0</v>
      </c>
      <c r="S10" s="6" t="n">
        <f aca="false">SUMIF($C$4:$C$59,$P10,$M$4:$M$59)</f>
        <v>0</v>
      </c>
      <c r="T10" s="5" t="str">
        <f aca="false">IF(Q10&gt;0,COUNTIF($Q$4:Q10,"&gt;0"),"")</f>
        <v/>
      </c>
      <c r="U10" s="5" t="str">
        <f aca="false">IF(Q10=0,"",IF(SUMIFS($I$4:$I$59,$C$4:$C$59,$P10,$E$4:$E$59,"Yes",$D$4:$D$59,"Manager")=Q10,"PM",IF(SUMIFS($I$4:$I$59,$C$4:$C$59,$P10,$E$4:$E$59,"Yes",$D$4:$D$59,"Coordinator")=Q10,"EC","PM/EC")))</f>
        <v/>
      </c>
    </row>
    <row r="11" customFormat="false" ht="15" hidden="false" customHeight="false" outlineLevel="0" collapsed="false">
      <c r="A11" s="46" t="n">
        <v>8</v>
      </c>
      <c r="B11" s="25" t="s">
        <v>182</v>
      </c>
      <c r="C11" s="47" t="s">
        <v>167</v>
      </c>
      <c r="D11" s="47" t="s">
        <v>169</v>
      </c>
      <c r="E11" s="48" t="s">
        <v>98</v>
      </c>
      <c r="F11" s="25" t="s">
        <v>170</v>
      </c>
      <c r="G11" s="27" t="n">
        <f aca="false">ROUND(5*INPUTS!$C$24,0)</f>
        <v>8</v>
      </c>
      <c r="H11" s="49"/>
      <c r="I11" s="27" t="n">
        <f aca="false">IF(ISNUMBER(H11),H11,G11)</f>
        <v>8</v>
      </c>
      <c r="J11" s="26" t="n">
        <f aca="false">IF(D11="Manager",INPUTS!$C$35,IF(D11="Coordinator",INPUTS!$C$36,INPUTS!$C$29*INPUTS!$C$35+INPUTS!$C$30*INPUTS!$C$36))</f>
        <v>90</v>
      </c>
      <c r="K11" s="26" t="n">
        <f aca="false">IF(D11="Manager",INPUTS!$C$33,IF(D11="Coordinator",INPUTS!$C$34,INPUTS!$C$29*INPUTS!$C$33+INPUTS!$C$30*INPUTS!$C$34))</f>
        <v>60</v>
      </c>
      <c r="L11" s="28" t="n">
        <f aca="false">IF(E11="Yes",I11*J11,0)</f>
        <v>0</v>
      </c>
      <c r="M11" s="28" t="n">
        <f aca="false">IF(E11="Yes",I11*K11,0)</f>
        <v>0</v>
      </c>
      <c r="P11" s="5" t="s">
        <v>183</v>
      </c>
      <c r="Q11" s="15" t="n">
        <f aca="false">SUMIFS($I$4:$I$59,$C$4:$C$59,$P11,$E$4:$E$59,"Yes")</f>
        <v>0</v>
      </c>
      <c r="R11" s="6" t="n">
        <f aca="false">SUMIF($C$4:$C$59,$P11,$L$4:$L$59)</f>
        <v>0</v>
      </c>
      <c r="S11" s="6" t="n">
        <f aca="false">SUMIF($C$4:$C$59,$P11,$M$4:$M$59)</f>
        <v>0</v>
      </c>
      <c r="T11" s="5" t="str">
        <f aca="false">IF(Q11&gt;0,COUNTIF($Q$4:Q11,"&gt;0"),"")</f>
        <v/>
      </c>
      <c r="U11" s="5" t="str">
        <f aca="false">IF(Q11=0,"",IF(SUMIFS($I$4:$I$59,$C$4:$C$59,$P11,$E$4:$E$59,"Yes",$D$4:$D$59,"Manager")=Q11,"PM",IF(SUMIFS($I$4:$I$59,$C$4:$C$59,$P11,$E$4:$E$59,"Yes",$D$4:$D$59,"Coordinator")=Q11,"EC","PM/EC")))</f>
        <v/>
      </c>
    </row>
    <row r="12" customFormat="false" ht="15" hidden="false" customHeight="false" outlineLevel="0" collapsed="false">
      <c r="A12" s="50" t="n">
        <v>9</v>
      </c>
      <c r="B12" s="51" t="s">
        <v>184</v>
      </c>
      <c r="C12" s="52" t="s">
        <v>171</v>
      </c>
      <c r="D12" s="52" t="s">
        <v>169</v>
      </c>
      <c r="E12" s="53" t="s">
        <v>162</v>
      </c>
      <c r="F12" s="51" t="s">
        <v>185</v>
      </c>
      <c r="G12" s="54" t="n">
        <f aca="false">ROUND(16*INPUTS!$C$24,0)</f>
        <v>25</v>
      </c>
      <c r="H12" s="55"/>
      <c r="I12" s="54" t="n">
        <f aca="false">IF(ISNUMBER(H12),H12,G12)</f>
        <v>25</v>
      </c>
      <c r="J12" s="56" t="n">
        <f aca="false">IF(D12="Manager",INPUTS!$C$35,IF(D12="Coordinator",INPUTS!$C$36,INPUTS!$C$29*INPUTS!$C$35+INPUTS!$C$30*INPUTS!$C$36))</f>
        <v>90</v>
      </c>
      <c r="K12" s="56" t="n">
        <f aca="false">IF(D12="Manager",INPUTS!$C$33,IF(D12="Coordinator",INPUTS!$C$34,INPUTS!$C$29*INPUTS!$C$33+INPUTS!$C$30*INPUTS!$C$34))</f>
        <v>60</v>
      </c>
      <c r="L12" s="57" t="n">
        <f aca="false">IF(E12="Yes",I12*J12,0)</f>
        <v>2250</v>
      </c>
      <c r="M12" s="57" t="n">
        <f aca="false">IF(E12="Yes",I12*K12,0)</f>
        <v>1500</v>
      </c>
      <c r="P12" s="5" t="s">
        <v>186</v>
      </c>
      <c r="Q12" s="15" t="n">
        <f aca="false">SUMIFS($I$4:$I$59,$C$4:$C$59,$P12,$E$4:$E$59,"Yes")</f>
        <v>40</v>
      </c>
      <c r="R12" s="6" t="n">
        <f aca="false">SUMIF($C$4:$C$59,$P12,$L$4:$L$59)</f>
        <v>2600</v>
      </c>
      <c r="S12" s="6" t="n">
        <f aca="false">SUMIF($C$4:$C$59,$P12,$M$4:$M$59)</f>
        <v>1680</v>
      </c>
      <c r="T12" s="5" t="n">
        <f aca="false">IF(Q12&gt;0,COUNTIF($Q$4:Q12,"&gt;0"),"")</f>
        <v>6</v>
      </c>
      <c r="U12" s="5" t="str">
        <f aca="false">IF(Q12=0,"",IF(SUMIFS($I$4:$I$59,$C$4:$C$59,$P12,$E$4:$E$59,"Yes",$D$4:$D$59,"Manager")=Q12,"PM",IF(SUMIFS($I$4:$I$59,$C$4:$C$59,$P12,$E$4:$E$59,"Yes",$D$4:$D$59,"Coordinator")=Q12,"EC","PM/EC")))</f>
        <v>EC</v>
      </c>
    </row>
    <row r="13" customFormat="false" ht="15" hidden="false" customHeight="false" outlineLevel="0" collapsed="false">
      <c r="A13" s="46" t="n">
        <v>10</v>
      </c>
      <c r="B13" s="25" t="s">
        <v>187</v>
      </c>
      <c r="C13" s="47" t="s">
        <v>171</v>
      </c>
      <c r="D13" s="47" t="s">
        <v>169</v>
      </c>
      <c r="E13" s="48" t="s">
        <v>162</v>
      </c>
      <c r="F13" s="25" t="s">
        <v>188</v>
      </c>
      <c r="G13" s="27" t="n">
        <f aca="false">ROUND(10*INPUTS!$C$24,0)</f>
        <v>15</v>
      </c>
      <c r="H13" s="49"/>
      <c r="I13" s="27" t="n">
        <f aca="false">IF(ISNUMBER(H13),H13,G13)</f>
        <v>15</v>
      </c>
      <c r="J13" s="26" t="n">
        <f aca="false">IF(D13="Manager",INPUTS!$C$35,IF(D13="Coordinator",INPUTS!$C$36,INPUTS!$C$29*INPUTS!$C$35+INPUTS!$C$30*INPUTS!$C$36))</f>
        <v>90</v>
      </c>
      <c r="K13" s="26" t="n">
        <f aca="false">IF(D13="Manager",INPUTS!$C$33,IF(D13="Coordinator",INPUTS!$C$34,INPUTS!$C$29*INPUTS!$C$33+INPUTS!$C$30*INPUTS!$C$34))</f>
        <v>60</v>
      </c>
      <c r="L13" s="28" t="n">
        <f aca="false">IF(E13="Yes",I13*J13,0)</f>
        <v>1350</v>
      </c>
      <c r="M13" s="28" t="n">
        <f aca="false">IF(E13="Yes",I13*K13,0)</f>
        <v>900</v>
      </c>
      <c r="P13" s="5" t="s">
        <v>189</v>
      </c>
      <c r="Q13" s="15" t="n">
        <f aca="false">SUMIFS($I$4:$I$59,$C$4:$C$59,$P13,$E$4:$E$59,"Yes")</f>
        <v>14</v>
      </c>
      <c r="R13" s="6" t="n">
        <f aca="false">SUMIF($C$4:$C$59,$P13,$L$4:$L$59)</f>
        <v>1260</v>
      </c>
      <c r="S13" s="6" t="n">
        <f aca="false">SUMIF($C$4:$C$59,$P13,$M$4:$M$59)</f>
        <v>840</v>
      </c>
      <c r="T13" s="5" t="n">
        <f aca="false">IF(Q13&gt;0,COUNTIF($Q$4:Q13,"&gt;0"),"")</f>
        <v>7</v>
      </c>
      <c r="U13" s="5" t="str">
        <f aca="false">IF(Q13=0,"",IF(SUMIFS($I$4:$I$59,$C$4:$C$59,$P13,$E$4:$E$59,"Yes",$D$4:$D$59,"Manager")=Q13,"PM",IF(SUMIFS($I$4:$I$59,$C$4:$C$59,$P13,$E$4:$E$59,"Yes",$D$4:$D$59,"Coordinator")=Q13,"EC","PM/EC")))</f>
        <v>PM</v>
      </c>
    </row>
    <row r="14" customFormat="false" ht="15" hidden="false" customHeight="false" outlineLevel="0" collapsed="false">
      <c r="A14" s="50" t="n">
        <v>11</v>
      </c>
      <c r="B14" s="51" t="s">
        <v>190</v>
      </c>
      <c r="C14" s="52" t="s">
        <v>173</v>
      </c>
      <c r="D14" s="52" t="s">
        <v>169</v>
      </c>
      <c r="E14" s="53" t="s">
        <v>162</v>
      </c>
      <c r="F14" s="51" t="s">
        <v>191</v>
      </c>
      <c r="G14" s="54" t="n">
        <f aca="false">ROUND(7*INPUTS!$C$24,0)</f>
        <v>11</v>
      </c>
      <c r="H14" s="55"/>
      <c r="I14" s="54" t="n">
        <f aca="false">IF(ISNUMBER(H14),H14,G14)</f>
        <v>11</v>
      </c>
      <c r="J14" s="56" t="n">
        <f aca="false">IF(D14="Manager",INPUTS!$C$35,IF(D14="Coordinator",INPUTS!$C$36,INPUTS!$C$29*INPUTS!$C$35+INPUTS!$C$30*INPUTS!$C$36))</f>
        <v>90</v>
      </c>
      <c r="K14" s="56" t="n">
        <f aca="false">IF(D14="Manager",INPUTS!$C$33,IF(D14="Coordinator",INPUTS!$C$34,INPUTS!$C$29*INPUTS!$C$33+INPUTS!$C$30*INPUTS!$C$34))</f>
        <v>60</v>
      </c>
      <c r="L14" s="57" t="n">
        <f aca="false">IF(E14="Yes",I14*J14,0)</f>
        <v>990</v>
      </c>
      <c r="M14" s="57" t="n">
        <f aca="false">IF(E14="Yes",I14*K14,0)</f>
        <v>660</v>
      </c>
      <c r="P14" s="5" t="s">
        <v>192</v>
      </c>
      <c r="Q14" s="15" t="n">
        <f aca="false">SUMIFS($I$4:$I$59,$C$4:$C$59,$P14,$E$4:$E$59,"Yes")</f>
        <v>0</v>
      </c>
      <c r="R14" s="6" t="n">
        <f aca="false">SUMIF($C$4:$C$59,$P14,$L$4:$L$59)</f>
        <v>0</v>
      </c>
      <c r="S14" s="6" t="n">
        <f aca="false">SUMIF($C$4:$C$59,$P14,$M$4:$M$59)</f>
        <v>0</v>
      </c>
      <c r="T14" s="5" t="str">
        <f aca="false">IF(Q14&gt;0,COUNTIF($Q$4:Q14,"&gt;0"),"")</f>
        <v/>
      </c>
      <c r="U14" s="5" t="str">
        <f aca="false">IF(Q14=0,"",IF(SUMIFS($I$4:$I$59,$C$4:$C$59,$P14,$E$4:$E$59,"Yes",$D$4:$D$59,"Manager")=Q14,"PM",IF(SUMIFS($I$4:$I$59,$C$4:$C$59,$P14,$E$4:$E$59,"Yes",$D$4:$D$59,"Coordinator")=Q14,"EC","PM/EC")))</f>
        <v/>
      </c>
    </row>
    <row r="15" customFormat="false" ht="15" hidden="false" customHeight="false" outlineLevel="0" collapsed="false">
      <c r="A15" s="46" t="n">
        <v>12</v>
      </c>
      <c r="B15" s="25" t="s">
        <v>193</v>
      </c>
      <c r="C15" s="47" t="s">
        <v>173</v>
      </c>
      <c r="D15" s="47" t="s">
        <v>169</v>
      </c>
      <c r="E15" s="48" t="s">
        <v>162</v>
      </c>
      <c r="F15" s="25" t="s">
        <v>194</v>
      </c>
      <c r="G15" s="27" t="n">
        <f aca="false">ROUND(14*INPUTS!$C$24,0)</f>
        <v>22</v>
      </c>
      <c r="H15" s="49"/>
      <c r="I15" s="27" t="n">
        <f aca="false">IF(ISNUMBER(H15),H15,G15)</f>
        <v>22</v>
      </c>
      <c r="J15" s="26" t="n">
        <f aca="false">IF(D15="Manager",INPUTS!$C$35,IF(D15="Coordinator",INPUTS!$C$36,INPUTS!$C$29*INPUTS!$C$35+INPUTS!$C$30*INPUTS!$C$36))</f>
        <v>90</v>
      </c>
      <c r="K15" s="26" t="n">
        <f aca="false">IF(D15="Manager",INPUTS!$C$33,IF(D15="Coordinator",INPUTS!$C$34,INPUTS!$C$29*INPUTS!$C$33+INPUTS!$C$30*INPUTS!$C$34))</f>
        <v>60</v>
      </c>
      <c r="L15" s="28" t="n">
        <f aca="false">IF(E15="Yes",I15*J15,0)</f>
        <v>1980</v>
      </c>
      <c r="M15" s="28" t="n">
        <f aca="false">IF(E15="Yes",I15*K15,0)</f>
        <v>1320</v>
      </c>
      <c r="P15" s="5" t="s">
        <v>195</v>
      </c>
      <c r="Q15" s="15" t="n">
        <f aca="false">SUMIFS($I$4:$I$59,$C$4:$C$59,$P15,$E$4:$E$59,"Yes")</f>
        <v>32</v>
      </c>
      <c r="R15" s="6" t="n">
        <f aca="false">SUMIF($C$4:$C$59,$P15,$L$4:$L$59)</f>
        <v>2080</v>
      </c>
      <c r="S15" s="6" t="n">
        <f aca="false">SUMIF($C$4:$C$59,$P15,$M$4:$M$59)</f>
        <v>1344</v>
      </c>
      <c r="T15" s="5" t="n">
        <f aca="false">IF(Q15&gt;0,COUNTIF($Q$4:Q15,"&gt;0"),"")</f>
        <v>8</v>
      </c>
      <c r="U15" s="5" t="str">
        <f aca="false">IF(Q15=0,"",IF(SUMIFS($I$4:$I$59,$C$4:$C$59,$P15,$E$4:$E$59,"Yes",$D$4:$D$59,"Manager")=Q15,"PM",IF(SUMIFS($I$4:$I$59,$C$4:$C$59,$P15,$E$4:$E$59,"Yes",$D$4:$D$59,"Coordinator")=Q15,"EC","PM/EC")))</f>
        <v>EC</v>
      </c>
    </row>
    <row r="16" customFormat="false" ht="15" hidden="false" customHeight="false" outlineLevel="0" collapsed="false">
      <c r="A16" s="46" t="n">
        <v>13</v>
      </c>
      <c r="B16" s="25" t="s">
        <v>196</v>
      </c>
      <c r="C16" s="47" t="s">
        <v>173</v>
      </c>
      <c r="D16" s="47" t="s">
        <v>169</v>
      </c>
      <c r="E16" s="48" t="s">
        <v>162</v>
      </c>
      <c r="F16" s="25" t="s">
        <v>197</v>
      </c>
      <c r="G16" s="27" t="n">
        <f aca="false">ROUND(8*INPUTS!$C$24,0)</f>
        <v>12</v>
      </c>
      <c r="H16" s="49"/>
      <c r="I16" s="27" t="n">
        <f aca="false">IF(ISNUMBER(H16),H16,G16)</f>
        <v>12</v>
      </c>
      <c r="J16" s="26" t="n">
        <f aca="false">IF(D16="Manager",INPUTS!$C$35,IF(D16="Coordinator",INPUTS!$C$36,INPUTS!$C$29*INPUTS!$C$35+INPUTS!$C$30*INPUTS!$C$36))</f>
        <v>90</v>
      </c>
      <c r="K16" s="26" t="n">
        <f aca="false">IF(D16="Manager",INPUTS!$C$33,IF(D16="Coordinator",INPUTS!$C$34,INPUTS!$C$29*INPUTS!$C$33+INPUTS!$C$30*INPUTS!$C$34))</f>
        <v>60</v>
      </c>
      <c r="L16" s="28" t="n">
        <f aca="false">IF(E16="Yes",I16*J16,0)</f>
        <v>1080</v>
      </c>
      <c r="M16" s="28" t="n">
        <f aca="false">IF(E16="Yes",I16*K16,0)</f>
        <v>720</v>
      </c>
      <c r="P16" s="5" t="s">
        <v>198</v>
      </c>
      <c r="Q16" s="15" t="n">
        <f aca="false">SUMIFS($I$4:$I$59,$C$4:$C$59,$P16,$E$4:$E$59,"Yes")</f>
        <v>0</v>
      </c>
      <c r="R16" s="6" t="n">
        <f aca="false">SUMIF($C$4:$C$59,$P16,$L$4:$L$59)</f>
        <v>0</v>
      </c>
      <c r="S16" s="6" t="n">
        <f aca="false">SUMIF($C$4:$C$59,$P16,$M$4:$M$59)</f>
        <v>0</v>
      </c>
      <c r="T16" s="5" t="str">
        <f aca="false">IF(Q16&gt;0,COUNTIF($Q$4:Q16,"&gt;0"),"")</f>
        <v/>
      </c>
      <c r="U16" s="5" t="str">
        <f aca="false">IF(Q16=0,"",IF(SUMIFS($I$4:$I$59,$C$4:$C$59,$P16,$E$4:$E$59,"Yes",$D$4:$D$59,"Manager")=Q16,"PM",IF(SUMIFS($I$4:$I$59,$C$4:$C$59,$P16,$E$4:$E$59,"Yes",$D$4:$D$59,"Coordinator")=Q16,"EC","PM/EC")))</f>
        <v/>
      </c>
    </row>
    <row r="17" customFormat="false" ht="15" hidden="false" customHeight="false" outlineLevel="0" collapsed="false">
      <c r="A17" s="46" t="n">
        <v>14</v>
      </c>
      <c r="B17" s="25" t="s">
        <v>199</v>
      </c>
      <c r="C17" s="47" t="s">
        <v>173</v>
      </c>
      <c r="D17" s="47" t="s">
        <v>169</v>
      </c>
      <c r="E17" s="48" t="s">
        <v>98</v>
      </c>
      <c r="F17" s="25" t="s">
        <v>200</v>
      </c>
      <c r="G17" s="27" t="n">
        <f aca="false">ROUND(26*INPUTS!$C$24,0)</f>
        <v>40</v>
      </c>
      <c r="H17" s="49"/>
      <c r="I17" s="27" t="n">
        <f aca="false">IF(ISNUMBER(H17),H17,G17)</f>
        <v>40</v>
      </c>
      <c r="J17" s="26" t="n">
        <f aca="false">IF(D17="Manager",INPUTS!$C$35,IF(D17="Coordinator",INPUTS!$C$36,INPUTS!$C$29*INPUTS!$C$35+INPUTS!$C$30*INPUTS!$C$36))</f>
        <v>90</v>
      </c>
      <c r="K17" s="26" t="n">
        <f aca="false">IF(D17="Manager",INPUTS!$C$33,IF(D17="Coordinator",INPUTS!$C$34,INPUTS!$C$29*INPUTS!$C$33+INPUTS!$C$30*INPUTS!$C$34))</f>
        <v>60</v>
      </c>
      <c r="L17" s="28" t="n">
        <f aca="false">IF(E17="Yes",I17*J17,0)</f>
        <v>0</v>
      </c>
      <c r="M17" s="28" t="n">
        <f aca="false">IF(E17="Yes",I17*K17,0)</f>
        <v>0</v>
      </c>
      <c r="P17" s="5" t="s">
        <v>201</v>
      </c>
      <c r="Q17" s="15" t="n">
        <f aca="false">SUMIFS($I$4:$I$59,$C$4:$C$59,$P17,$E$4:$E$59,"Yes")</f>
        <v>63</v>
      </c>
      <c r="R17" s="6" t="n">
        <f aca="false">SUMIF($C$4:$C$59,$P17,$L$4:$L$59)</f>
        <v>5670</v>
      </c>
      <c r="S17" s="6" t="n">
        <f aca="false">SUMIF($C$4:$C$59,$P17,$M$4:$M$59)</f>
        <v>3780</v>
      </c>
      <c r="T17" s="5" t="n">
        <f aca="false">IF(Q17&gt;0,COUNTIF($Q$4:Q17,"&gt;0"),"")</f>
        <v>9</v>
      </c>
      <c r="U17" s="5" t="str">
        <f aca="false">IF(Q17=0,"",IF(SUMIFS($I$4:$I$59,$C$4:$C$59,$P17,$E$4:$E$59,"Yes",$D$4:$D$59,"Manager")=Q17,"PM",IF(SUMIFS($I$4:$I$59,$C$4:$C$59,$P17,$E$4:$E$59,"Yes",$D$4:$D$59,"Coordinator")=Q17,"EC","PM/EC")))</f>
        <v>PM</v>
      </c>
    </row>
    <row r="18" customFormat="false" ht="15" hidden="false" customHeight="false" outlineLevel="0" collapsed="false">
      <c r="A18" s="50" t="n">
        <v>15</v>
      </c>
      <c r="B18" s="51" t="s">
        <v>202</v>
      </c>
      <c r="C18" s="52" t="s">
        <v>176</v>
      </c>
      <c r="D18" s="52" t="s">
        <v>169</v>
      </c>
      <c r="E18" s="53" t="s">
        <v>162</v>
      </c>
      <c r="F18" s="51" t="s">
        <v>203</v>
      </c>
      <c r="G18" s="54" t="n">
        <f aca="false">ROUND(22*INPUTS!$C$24,0)</f>
        <v>34</v>
      </c>
      <c r="H18" s="55"/>
      <c r="I18" s="54" t="n">
        <f aca="false">IF(ISNUMBER(H18),H18,G18)</f>
        <v>34</v>
      </c>
      <c r="J18" s="56" t="n">
        <f aca="false">IF(D18="Manager",INPUTS!$C$35,IF(D18="Coordinator",INPUTS!$C$36,INPUTS!$C$29*INPUTS!$C$35+INPUTS!$C$30*INPUTS!$C$36))</f>
        <v>90</v>
      </c>
      <c r="K18" s="56" t="n">
        <f aca="false">IF(D18="Manager",INPUTS!$C$33,IF(D18="Coordinator",INPUTS!$C$34,INPUTS!$C$29*INPUTS!$C$33+INPUTS!$C$30*INPUTS!$C$34))</f>
        <v>60</v>
      </c>
      <c r="L18" s="57" t="n">
        <f aca="false">IF(E18="Yes",I18*J18,0)</f>
        <v>3060</v>
      </c>
      <c r="M18" s="57" t="n">
        <f aca="false">IF(E18="Yes",I18*K18,0)</f>
        <v>2040</v>
      </c>
      <c r="P18" s="5" t="s">
        <v>204</v>
      </c>
      <c r="Q18" s="15" t="n">
        <f aca="false">SUMIFS($I$4:$I$59,$C$4:$C$59,$P18,$E$4:$E$59,"Yes")</f>
        <v>0</v>
      </c>
      <c r="R18" s="6" t="n">
        <f aca="false">SUMIF($C$4:$C$59,$P18,$L$4:$L$59)</f>
        <v>0</v>
      </c>
      <c r="S18" s="6" t="n">
        <f aca="false">SUMIF($C$4:$C$59,$P18,$M$4:$M$59)</f>
        <v>0</v>
      </c>
      <c r="T18" s="5" t="str">
        <f aca="false">IF(Q18&gt;0,COUNTIF($Q$4:Q18,"&gt;0"),"")</f>
        <v/>
      </c>
      <c r="U18" s="5" t="str">
        <f aca="false">IF(Q18=0,"",IF(SUMIFS($I$4:$I$59,$C$4:$C$59,$P18,$E$4:$E$59,"Yes",$D$4:$D$59,"Manager")=Q18,"PM",IF(SUMIFS($I$4:$I$59,$C$4:$C$59,$P18,$E$4:$E$59,"Yes",$D$4:$D$59,"Coordinator")=Q18,"EC","PM/EC")))</f>
        <v/>
      </c>
    </row>
    <row r="19" customFormat="false" ht="15" hidden="false" customHeight="false" outlineLevel="0" collapsed="false">
      <c r="A19" s="50" t="n">
        <v>16</v>
      </c>
      <c r="B19" s="51" t="s">
        <v>205</v>
      </c>
      <c r="C19" s="52" t="s">
        <v>178</v>
      </c>
      <c r="D19" s="52" t="s">
        <v>161</v>
      </c>
      <c r="E19" s="53" t="s">
        <v>162</v>
      </c>
      <c r="F19" s="51" t="s">
        <v>206</v>
      </c>
      <c r="G19" s="54" t="n">
        <f aca="false">ROUND(35*INPUTS!$C$24,0)</f>
        <v>54</v>
      </c>
      <c r="H19" s="55"/>
      <c r="I19" s="54" t="n">
        <f aca="false">IF(ISNUMBER(H19),H19,G19)</f>
        <v>54</v>
      </c>
      <c r="J19" s="56" t="n">
        <f aca="false">IF(D19="Manager",INPUTS!$C$35,IF(D19="Coordinator",INPUTS!$C$36,INPUTS!$C$29*INPUTS!$C$35+INPUTS!$C$30*INPUTS!$C$36))</f>
        <v>65</v>
      </c>
      <c r="K19" s="56" t="n">
        <f aca="false">IF(D19="Manager",INPUTS!$C$33,IF(D19="Coordinator",INPUTS!$C$34,INPUTS!$C$29*INPUTS!$C$33+INPUTS!$C$30*INPUTS!$C$34))</f>
        <v>42</v>
      </c>
      <c r="L19" s="57" t="n">
        <f aca="false">IF(E19="Yes",I19*J19,0)</f>
        <v>3510</v>
      </c>
      <c r="M19" s="57" t="n">
        <f aca="false">IF(E19="Yes",I19*K19,0)</f>
        <v>2268</v>
      </c>
      <c r="P19" s="5" t="s">
        <v>207</v>
      </c>
      <c r="Q19" s="15" t="n">
        <f aca="false">SUMIFS($I$4:$I$59,$C$4:$C$59,$P19,$E$4:$E$59,"Yes")</f>
        <v>18</v>
      </c>
      <c r="R19" s="6" t="n">
        <f aca="false">SUMIF($C$4:$C$59,$P19,$L$4:$L$59)</f>
        <v>1620</v>
      </c>
      <c r="S19" s="6" t="n">
        <f aca="false">SUMIF($C$4:$C$59,$P19,$M$4:$M$59)</f>
        <v>1080</v>
      </c>
      <c r="T19" s="5" t="n">
        <f aca="false">IF(Q19&gt;0,COUNTIF($Q$4:Q19,"&gt;0"),"")</f>
        <v>10</v>
      </c>
      <c r="U19" s="5" t="str">
        <f aca="false">IF(Q19=0,"",IF(SUMIFS($I$4:$I$59,$C$4:$C$59,$P19,$E$4:$E$59,"Yes",$D$4:$D$59,"Manager")=Q19,"PM",IF(SUMIFS($I$4:$I$59,$C$4:$C$59,$P19,$E$4:$E$59,"Yes",$D$4:$D$59,"Coordinator")=Q19,"EC","PM/EC")))</f>
        <v>PM</v>
      </c>
    </row>
    <row r="20" customFormat="false" ht="15" hidden="false" customHeight="false" outlineLevel="0" collapsed="false">
      <c r="A20" s="46" t="n">
        <v>17</v>
      </c>
      <c r="B20" s="25" t="s">
        <v>208</v>
      </c>
      <c r="C20" s="47" t="s">
        <v>178</v>
      </c>
      <c r="D20" s="47" t="s">
        <v>161</v>
      </c>
      <c r="E20" s="48" t="s">
        <v>162</v>
      </c>
      <c r="F20" s="25" t="s">
        <v>209</v>
      </c>
      <c r="G20" s="27" t="n">
        <f aca="false">ROUND(18*INPUTS!$C$24,0)</f>
        <v>28</v>
      </c>
      <c r="H20" s="49"/>
      <c r="I20" s="27" t="n">
        <f aca="false">IF(ISNUMBER(H20),H20,G20)</f>
        <v>28</v>
      </c>
      <c r="J20" s="26" t="n">
        <f aca="false">IF(D20="Manager",INPUTS!$C$35,IF(D20="Coordinator",INPUTS!$C$36,INPUTS!$C$29*INPUTS!$C$35+INPUTS!$C$30*INPUTS!$C$36))</f>
        <v>65</v>
      </c>
      <c r="K20" s="26" t="n">
        <f aca="false">IF(D20="Manager",INPUTS!$C$33,IF(D20="Coordinator",INPUTS!$C$34,INPUTS!$C$29*INPUTS!$C$33+INPUTS!$C$30*INPUTS!$C$34))</f>
        <v>42</v>
      </c>
      <c r="L20" s="28" t="n">
        <f aca="false">IF(E20="Yes",I20*J20,0)</f>
        <v>1820</v>
      </c>
      <c r="M20" s="28" t="n">
        <f aca="false">IF(E20="Yes",I20*K20,0)</f>
        <v>1176</v>
      </c>
      <c r="P20" s="5" t="s">
        <v>210</v>
      </c>
      <c r="Q20" s="15" t="n">
        <f aca="false">SUMIFS($I$4:$I$59,$C$4:$C$59,$P20,$E$4:$E$59,"Yes")</f>
        <v>0</v>
      </c>
      <c r="R20" s="6" t="n">
        <f aca="false">SUMIF($C$4:$C$59,$P20,$L$4:$L$59)</f>
        <v>0</v>
      </c>
      <c r="S20" s="6" t="n">
        <f aca="false">SUMIF($C$4:$C$59,$P20,$M$4:$M$59)</f>
        <v>0</v>
      </c>
      <c r="T20" s="5" t="str">
        <f aca="false">IF(Q20&gt;0,COUNTIF($Q$4:Q20,"&gt;0"),"")</f>
        <v/>
      </c>
      <c r="U20" s="5" t="str">
        <f aca="false">IF(Q20=0,"",IF(SUMIFS($I$4:$I$59,$C$4:$C$59,$P20,$E$4:$E$59,"Yes",$D$4:$D$59,"Manager")=Q20,"PM",IF(SUMIFS($I$4:$I$59,$C$4:$C$59,$P20,$E$4:$E$59,"Yes",$D$4:$D$59,"Coordinator")=Q20,"EC","PM/EC")))</f>
        <v/>
      </c>
    </row>
    <row r="21" customFormat="false" ht="15" hidden="false" customHeight="false" outlineLevel="0" collapsed="false">
      <c r="A21" s="46" t="n">
        <v>18</v>
      </c>
      <c r="B21" s="25" t="s">
        <v>211</v>
      </c>
      <c r="C21" s="47" t="s">
        <v>178</v>
      </c>
      <c r="D21" s="47" t="s">
        <v>161</v>
      </c>
      <c r="E21" s="48" t="s">
        <v>98</v>
      </c>
      <c r="F21" s="25" t="s">
        <v>212</v>
      </c>
      <c r="G21" s="27" t="n">
        <f aca="false">ROUND(25*INPUTS!$C$24,0)</f>
        <v>39</v>
      </c>
      <c r="H21" s="49"/>
      <c r="I21" s="27" t="n">
        <f aca="false">IF(ISNUMBER(H21),H21,G21)</f>
        <v>39</v>
      </c>
      <c r="J21" s="26" t="n">
        <f aca="false">IF(D21="Manager",INPUTS!$C$35,IF(D21="Coordinator",INPUTS!$C$36,INPUTS!$C$29*INPUTS!$C$35+INPUTS!$C$30*INPUTS!$C$36))</f>
        <v>65</v>
      </c>
      <c r="K21" s="26" t="n">
        <f aca="false">IF(D21="Manager",INPUTS!$C$33,IF(D21="Coordinator",INPUTS!$C$34,INPUTS!$C$29*INPUTS!$C$33+INPUTS!$C$30*INPUTS!$C$34))</f>
        <v>42</v>
      </c>
      <c r="L21" s="28" t="n">
        <f aca="false">IF(E21="Yes",I21*J21,0)</f>
        <v>0</v>
      </c>
      <c r="M21" s="28" t="n">
        <f aca="false">IF(E21="Yes",I21*K21,0)</f>
        <v>0</v>
      </c>
      <c r="P21" s="5" t="s">
        <v>213</v>
      </c>
      <c r="Q21" s="15" t="n">
        <f aca="false">SUMIFS($I$4:$I$59,$C$4:$C$59,$P21,$E$4:$E$59,"Yes")</f>
        <v>60</v>
      </c>
      <c r="R21" s="6" t="n">
        <f aca="false">SUMIF($C$4:$C$59,$P21,$L$4:$L$59)</f>
        <v>5400</v>
      </c>
      <c r="S21" s="6" t="n">
        <f aca="false">SUMIF($C$4:$C$59,$P21,$M$4:$M$59)</f>
        <v>3600</v>
      </c>
      <c r="T21" s="5" t="n">
        <f aca="false">IF(Q21&gt;0,COUNTIF($Q$4:Q21,"&gt;0"),"")</f>
        <v>11</v>
      </c>
      <c r="U21" s="5" t="str">
        <f aca="false">IF(Q21=0,"",IF(SUMIFS($I$4:$I$59,$C$4:$C$59,$P21,$E$4:$E$59,"Yes",$D$4:$D$59,"Manager")=Q21,"PM",IF(SUMIFS($I$4:$I$59,$C$4:$C$59,$P21,$E$4:$E$59,"Yes",$D$4:$D$59,"Coordinator")=Q21,"EC","PM/EC")))</f>
        <v>PM</v>
      </c>
    </row>
    <row r="22" customFormat="false" ht="15" hidden="false" customHeight="false" outlineLevel="0" collapsed="false">
      <c r="A22" s="50" t="n">
        <v>19</v>
      </c>
      <c r="B22" s="51" t="s">
        <v>214</v>
      </c>
      <c r="C22" s="52" t="s">
        <v>181</v>
      </c>
      <c r="D22" s="52" t="s">
        <v>161</v>
      </c>
      <c r="E22" s="53" t="s">
        <v>98</v>
      </c>
      <c r="F22" s="51" t="s">
        <v>215</v>
      </c>
      <c r="G22" s="54" t="n">
        <f aca="false">ROUND(20*INPUTS!$C$24,0)</f>
        <v>31</v>
      </c>
      <c r="H22" s="55"/>
      <c r="I22" s="54" t="n">
        <f aca="false">IF(ISNUMBER(H22),H22,G22)</f>
        <v>31</v>
      </c>
      <c r="J22" s="56" t="n">
        <f aca="false">IF(D22="Manager",INPUTS!$C$35,IF(D22="Coordinator",INPUTS!$C$36,INPUTS!$C$29*INPUTS!$C$35+INPUTS!$C$30*INPUTS!$C$36))</f>
        <v>65</v>
      </c>
      <c r="K22" s="56" t="n">
        <f aca="false">IF(D22="Manager",INPUTS!$C$33,IF(D22="Coordinator",INPUTS!$C$34,INPUTS!$C$29*INPUTS!$C$33+INPUTS!$C$30*INPUTS!$C$34))</f>
        <v>42</v>
      </c>
      <c r="L22" s="57" t="n">
        <f aca="false">IF(E22="Yes",I22*J22,0)</f>
        <v>0</v>
      </c>
      <c r="M22" s="57" t="n">
        <f aca="false">IF(E22="Yes",I22*K22,0)</f>
        <v>0</v>
      </c>
      <c r="P22" s="5" t="s">
        <v>216</v>
      </c>
      <c r="Q22" s="15" t="n">
        <f aca="false">SUMIFS($I$4:$I$59,$C$4:$C$59,$P22,$E$4:$E$59,"Yes")</f>
        <v>15</v>
      </c>
      <c r="R22" s="6" t="n">
        <f aca="false">SUMIF($C$4:$C$59,$P22,$L$4:$L$59)</f>
        <v>1350</v>
      </c>
      <c r="S22" s="6" t="n">
        <f aca="false">SUMIF($C$4:$C$59,$P22,$M$4:$M$59)</f>
        <v>900</v>
      </c>
      <c r="T22" s="5" t="n">
        <f aca="false">IF(Q22&gt;0,COUNTIF($Q$4:Q22,"&gt;0"),"")</f>
        <v>12</v>
      </c>
      <c r="U22" s="5" t="str">
        <f aca="false">IF(Q22=0,"",IF(SUMIFS($I$4:$I$59,$C$4:$C$59,$P22,$E$4:$E$59,"Yes",$D$4:$D$59,"Manager")=Q22,"PM",IF(SUMIFS($I$4:$I$59,$C$4:$C$59,$P22,$E$4:$E$59,"Yes",$D$4:$D$59,"Coordinator")=Q22,"EC","PM/EC")))</f>
        <v>PM</v>
      </c>
    </row>
    <row r="23" customFormat="false" ht="15" hidden="false" customHeight="false" outlineLevel="0" collapsed="false">
      <c r="A23" s="50" t="n">
        <v>20</v>
      </c>
      <c r="B23" s="51" t="s">
        <v>217</v>
      </c>
      <c r="C23" s="52" t="s">
        <v>183</v>
      </c>
      <c r="D23" s="52" t="s">
        <v>161</v>
      </c>
      <c r="E23" s="53" t="s">
        <v>98</v>
      </c>
      <c r="F23" s="51" t="s">
        <v>197</v>
      </c>
      <c r="G23" s="54" t="n">
        <f aca="false">ROUND(8*INPUTS!$C$24,0)</f>
        <v>12</v>
      </c>
      <c r="H23" s="55"/>
      <c r="I23" s="54" t="n">
        <f aca="false">IF(ISNUMBER(H23),H23,G23)</f>
        <v>12</v>
      </c>
      <c r="J23" s="56" t="n">
        <f aca="false">IF(D23="Manager",INPUTS!$C$35,IF(D23="Coordinator",INPUTS!$C$36,INPUTS!$C$29*INPUTS!$C$35+INPUTS!$C$30*INPUTS!$C$36))</f>
        <v>65</v>
      </c>
      <c r="K23" s="56" t="n">
        <f aca="false">IF(D23="Manager",INPUTS!$C$33,IF(D23="Coordinator",INPUTS!$C$34,INPUTS!$C$29*INPUTS!$C$33+INPUTS!$C$30*INPUTS!$C$34))</f>
        <v>42</v>
      </c>
      <c r="L23" s="57" t="n">
        <f aca="false">IF(E23="Yes",I23*J23,0)</f>
        <v>0</v>
      </c>
      <c r="M23" s="57" t="n">
        <f aca="false">IF(E23="Yes",I23*K23,0)</f>
        <v>0</v>
      </c>
      <c r="P23" s="5" t="s">
        <v>218</v>
      </c>
      <c r="Q23" s="15" t="n">
        <f aca="false">SUMIFS($I$4:$I$59,$C$4:$C$59,$P23,$E$4:$E$59,"Yes")</f>
        <v>0</v>
      </c>
      <c r="R23" s="6" t="n">
        <f aca="false">SUMIF($C$4:$C$59,$P23,$L$4:$L$59)</f>
        <v>0</v>
      </c>
      <c r="S23" s="6" t="n">
        <f aca="false">SUMIF($C$4:$C$59,$P23,$M$4:$M$59)</f>
        <v>0</v>
      </c>
      <c r="T23" s="5" t="str">
        <f aca="false">IF(Q23&gt;0,COUNTIF($Q$4:Q23,"&gt;0"),"")</f>
        <v/>
      </c>
      <c r="U23" s="5" t="str">
        <f aca="false">IF(Q23=0,"",IF(SUMIFS($I$4:$I$59,$C$4:$C$59,$P23,$E$4:$E$59,"Yes",$D$4:$D$59,"Manager")=Q23,"PM",IF(SUMIFS($I$4:$I$59,$C$4:$C$59,$P23,$E$4:$E$59,"Yes",$D$4:$D$59,"Coordinator")=Q23,"EC","PM/EC")))</f>
        <v/>
      </c>
    </row>
    <row r="24" customFormat="false" ht="15" hidden="false" customHeight="false" outlineLevel="0" collapsed="false">
      <c r="A24" s="46" t="n">
        <v>21</v>
      </c>
      <c r="B24" s="25" t="s">
        <v>219</v>
      </c>
      <c r="C24" s="47" t="s">
        <v>183</v>
      </c>
      <c r="D24" s="47" t="s">
        <v>161</v>
      </c>
      <c r="E24" s="48" t="s">
        <v>98</v>
      </c>
      <c r="F24" s="25" t="s">
        <v>220</v>
      </c>
      <c r="G24" s="27" t="n">
        <f aca="false">ROUND(4*INPUTS!$C$24,0)</f>
        <v>6</v>
      </c>
      <c r="H24" s="49"/>
      <c r="I24" s="27" t="n">
        <f aca="false">IF(ISNUMBER(H24),H24,G24)</f>
        <v>6</v>
      </c>
      <c r="J24" s="26" t="n">
        <f aca="false">IF(D24="Manager",INPUTS!$C$35,IF(D24="Coordinator",INPUTS!$C$36,INPUTS!$C$29*INPUTS!$C$35+INPUTS!$C$30*INPUTS!$C$36))</f>
        <v>65</v>
      </c>
      <c r="K24" s="26" t="n">
        <f aca="false">IF(D24="Manager",INPUTS!$C$33,IF(D24="Coordinator",INPUTS!$C$34,INPUTS!$C$29*INPUTS!$C$33+INPUTS!$C$30*INPUTS!$C$34))</f>
        <v>42</v>
      </c>
      <c r="L24" s="28" t="n">
        <f aca="false">IF(E24="Yes",I24*J24,0)</f>
        <v>0</v>
      </c>
      <c r="M24" s="28" t="n">
        <f aca="false">IF(E24="Yes",I24*K24,0)</f>
        <v>0</v>
      </c>
    </row>
    <row r="25" customFormat="false" ht="15" hidden="false" customHeight="false" outlineLevel="0" collapsed="false">
      <c r="A25" s="46" t="n">
        <v>22</v>
      </c>
      <c r="B25" s="25" t="s">
        <v>221</v>
      </c>
      <c r="C25" s="47" t="s">
        <v>183</v>
      </c>
      <c r="D25" s="47" t="s">
        <v>161</v>
      </c>
      <c r="E25" s="48" t="s">
        <v>98</v>
      </c>
      <c r="F25" s="25" t="s">
        <v>222</v>
      </c>
      <c r="G25" s="27" t="n">
        <f aca="false">ROUND(3*INPUTS!$C$24,0)</f>
        <v>5</v>
      </c>
      <c r="H25" s="49"/>
      <c r="I25" s="27" t="n">
        <f aca="false">IF(ISNUMBER(H25),H25,G25)</f>
        <v>5</v>
      </c>
      <c r="J25" s="26" t="n">
        <f aca="false">IF(D25="Manager",INPUTS!$C$35,IF(D25="Coordinator",INPUTS!$C$36,INPUTS!$C$29*INPUTS!$C$35+INPUTS!$C$30*INPUTS!$C$36))</f>
        <v>65</v>
      </c>
      <c r="K25" s="26" t="n">
        <f aca="false">IF(D25="Manager",INPUTS!$C$33,IF(D25="Coordinator",INPUTS!$C$34,INPUTS!$C$29*INPUTS!$C$33+INPUTS!$C$30*INPUTS!$C$34))</f>
        <v>42</v>
      </c>
      <c r="L25" s="28" t="n">
        <f aca="false">IF(E25="Yes",I25*J25,0)</f>
        <v>0</v>
      </c>
      <c r="M25" s="28" t="n">
        <f aca="false">IF(E25="Yes",I25*K25,0)</f>
        <v>0</v>
      </c>
    </row>
    <row r="26" customFormat="false" ht="15" hidden="false" customHeight="false" outlineLevel="0" collapsed="false">
      <c r="A26" s="46" t="n">
        <v>23</v>
      </c>
      <c r="B26" s="25" t="s">
        <v>223</v>
      </c>
      <c r="C26" s="47" t="s">
        <v>183</v>
      </c>
      <c r="D26" s="47" t="s">
        <v>161</v>
      </c>
      <c r="E26" s="48" t="s">
        <v>98</v>
      </c>
      <c r="F26" s="25" t="s">
        <v>170</v>
      </c>
      <c r="G26" s="27" t="n">
        <f aca="false">ROUND(5*INPUTS!$C$24,0)</f>
        <v>8</v>
      </c>
      <c r="H26" s="49"/>
      <c r="I26" s="27" t="n">
        <f aca="false">IF(ISNUMBER(H26),H26,G26)</f>
        <v>8</v>
      </c>
      <c r="J26" s="26" t="n">
        <f aca="false">IF(D26="Manager",INPUTS!$C$35,IF(D26="Coordinator",INPUTS!$C$36,INPUTS!$C$29*INPUTS!$C$35+INPUTS!$C$30*INPUTS!$C$36))</f>
        <v>65</v>
      </c>
      <c r="K26" s="26" t="n">
        <f aca="false">IF(D26="Manager",INPUTS!$C$33,IF(D26="Coordinator",INPUTS!$C$34,INPUTS!$C$29*INPUTS!$C$33+INPUTS!$C$30*INPUTS!$C$34))</f>
        <v>42</v>
      </c>
      <c r="L26" s="28" t="n">
        <f aca="false">IF(E26="Yes",I26*J26,0)</f>
        <v>0</v>
      </c>
      <c r="M26" s="28" t="n">
        <f aca="false">IF(E26="Yes",I26*K26,0)</f>
        <v>0</v>
      </c>
    </row>
    <row r="27" customFormat="false" ht="15" hidden="false" customHeight="false" outlineLevel="0" collapsed="false">
      <c r="A27" s="46" t="n">
        <v>24</v>
      </c>
      <c r="B27" s="25" t="s">
        <v>224</v>
      </c>
      <c r="C27" s="47" t="s">
        <v>183</v>
      </c>
      <c r="D27" s="47" t="s">
        <v>161</v>
      </c>
      <c r="E27" s="48" t="s">
        <v>98</v>
      </c>
      <c r="F27" s="25" t="s">
        <v>222</v>
      </c>
      <c r="G27" s="27" t="n">
        <f aca="false">ROUND(3*INPUTS!$C$24,0)</f>
        <v>5</v>
      </c>
      <c r="H27" s="49"/>
      <c r="I27" s="27" t="n">
        <f aca="false">IF(ISNUMBER(H27),H27,G27)</f>
        <v>5</v>
      </c>
      <c r="J27" s="26" t="n">
        <f aca="false">IF(D27="Manager",INPUTS!$C$35,IF(D27="Coordinator",INPUTS!$C$36,INPUTS!$C$29*INPUTS!$C$35+INPUTS!$C$30*INPUTS!$C$36))</f>
        <v>65</v>
      </c>
      <c r="K27" s="26" t="n">
        <f aca="false">IF(D27="Manager",INPUTS!$C$33,IF(D27="Coordinator",INPUTS!$C$34,INPUTS!$C$29*INPUTS!$C$33+INPUTS!$C$30*INPUTS!$C$34))</f>
        <v>42</v>
      </c>
      <c r="L27" s="28" t="n">
        <f aca="false">IF(E27="Yes",I27*J27,0)</f>
        <v>0</v>
      </c>
      <c r="M27" s="28" t="n">
        <f aca="false">IF(E27="Yes",I27*K27,0)</f>
        <v>0</v>
      </c>
    </row>
    <row r="28" customFormat="false" ht="15" hidden="false" customHeight="false" outlineLevel="0" collapsed="false">
      <c r="A28" s="50" t="n">
        <v>25</v>
      </c>
      <c r="B28" s="51" t="s">
        <v>225</v>
      </c>
      <c r="C28" s="52" t="s">
        <v>186</v>
      </c>
      <c r="D28" s="52" t="s">
        <v>161</v>
      </c>
      <c r="E28" s="53" t="s">
        <v>162</v>
      </c>
      <c r="F28" s="51" t="s">
        <v>226</v>
      </c>
      <c r="G28" s="54" t="n">
        <f aca="false">ROUND(5*INPUTS!$C$14,0)</f>
        <v>25</v>
      </c>
      <c r="H28" s="55"/>
      <c r="I28" s="54" t="n">
        <f aca="false">IF(ISNUMBER(H28),H28,G28)</f>
        <v>25</v>
      </c>
      <c r="J28" s="56" t="n">
        <f aca="false">IF(D28="Manager",INPUTS!$C$35,IF(D28="Coordinator",INPUTS!$C$36,INPUTS!$C$29*INPUTS!$C$35+INPUTS!$C$30*INPUTS!$C$36))</f>
        <v>65</v>
      </c>
      <c r="K28" s="56" t="n">
        <f aca="false">IF(D28="Manager",INPUTS!$C$33,IF(D28="Coordinator",INPUTS!$C$34,INPUTS!$C$29*INPUTS!$C$33+INPUTS!$C$30*INPUTS!$C$34))</f>
        <v>42</v>
      </c>
      <c r="L28" s="57" t="n">
        <f aca="false">IF(E28="Yes",I28*J28,0)</f>
        <v>1625</v>
      </c>
      <c r="M28" s="57" t="n">
        <f aca="false">IF(E28="Yes",I28*K28,0)</f>
        <v>1050</v>
      </c>
    </row>
    <row r="29" customFormat="false" ht="15" hidden="false" customHeight="false" outlineLevel="0" collapsed="false">
      <c r="A29" s="46" t="n">
        <v>26</v>
      </c>
      <c r="B29" s="25" t="s">
        <v>227</v>
      </c>
      <c r="C29" s="47" t="s">
        <v>186</v>
      </c>
      <c r="D29" s="47" t="s">
        <v>161</v>
      </c>
      <c r="E29" s="48" t="s">
        <v>162</v>
      </c>
      <c r="F29" s="25" t="s">
        <v>188</v>
      </c>
      <c r="G29" s="27" t="n">
        <f aca="false">ROUND(10*INPUTS!$C$24,0)</f>
        <v>15</v>
      </c>
      <c r="H29" s="49"/>
      <c r="I29" s="27" t="n">
        <f aca="false">IF(ISNUMBER(H29),H29,G29)</f>
        <v>15</v>
      </c>
      <c r="J29" s="26" t="n">
        <f aca="false">IF(D29="Manager",INPUTS!$C$35,IF(D29="Coordinator",INPUTS!$C$36,INPUTS!$C$29*INPUTS!$C$35+INPUTS!$C$30*INPUTS!$C$36))</f>
        <v>65</v>
      </c>
      <c r="K29" s="26" t="n">
        <f aca="false">IF(D29="Manager",INPUTS!$C$33,IF(D29="Coordinator",INPUTS!$C$34,INPUTS!$C$29*INPUTS!$C$33+INPUTS!$C$30*INPUTS!$C$34))</f>
        <v>42</v>
      </c>
      <c r="L29" s="28" t="n">
        <f aca="false">IF(E29="Yes",I29*J29,0)</f>
        <v>975</v>
      </c>
      <c r="M29" s="28" t="n">
        <f aca="false">IF(E29="Yes",I29*K29,0)</f>
        <v>630</v>
      </c>
    </row>
    <row r="30" customFormat="false" ht="15" hidden="false" customHeight="false" outlineLevel="0" collapsed="false">
      <c r="A30" s="50" t="n">
        <v>27</v>
      </c>
      <c r="B30" s="51" t="s">
        <v>228</v>
      </c>
      <c r="C30" s="52" t="s">
        <v>189</v>
      </c>
      <c r="D30" s="52" t="s">
        <v>169</v>
      </c>
      <c r="E30" s="53" t="s">
        <v>162</v>
      </c>
      <c r="F30" s="51" t="s">
        <v>170</v>
      </c>
      <c r="G30" s="54" t="n">
        <f aca="false">ROUND(5*INPUTS!$C$24,0)</f>
        <v>8</v>
      </c>
      <c r="H30" s="55"/>
      <c r="I30" s="54" t="n">
        <f aca="false">IF(ISNUMBER(H30),H30,G30)</f>
        <v>8</v>
      </c>
      <c r="J30" s="56" t="n">
        <f aca="false">IF(D30="Manager",INPUTS!$C$35,IF(D30="Coordinator",INPUTS!$C$36,INPUTS!$C$29*INPUTS!$C$35+INPUTS!$C$30*INPUTS!$C$36))</f>
        <v>90</v>
      </c>
      <c r="K30" s="56" t="n">
        <f aca="false">IF(D30="Manager",INPUTS!$C$33,IF(D30="Coordinator",INPUTS!$C$34,INPUTS!$C$29*INPUTS!$C$33+INPUTS!$C$30*INPUTS!$C$34))</f>
        <v>60</v>
      </c>
      <c r="L30" s="57" t="n">
        <f aca="false">IF(E30="Yes",I30*J30,0)</f>
        <v>720</v>
      </c>
      <c r="M30" s="57" t="n">
        <f aca="false">IF(E30="Yes",I30*K30,0)</f>
        <v>480</v>
      </c>
    </row>
    <row r="31" customFormat="false" ht="15" hidden="false" customHeight="false" outlineLevel="0" collapsed="false">
      <c r="A31" s="46" t="n">
        <v>28</v>
      </c>
      <c r="B31" s="25" t="s">
        <v>229</v>
      </c>
      <c r="C31" s="47" t="s">
        <v>189</v>
      </c>
      <c r="D31" s="47" t="s">
        <v>169</v>
      </c>
      <c r="E31" s="48" t="s">
        <v>162</v>
      </c>
      <c r="F31" s="25" t="s">
        <v>220</v>
      </c>
      <c r="G31" s="27" t="n">
        <f aca="false">ROUND(4*INPUTS!$C$24,0)</f>
        <v>6</v>
      </c>
      <c r="H31" s="49"/>
      <c r="I31" s="27" t="n">
        <f aca="false">IF(ISNUMBER(H31),H31,G31)</f>
        <v>6</v>
      </c>
      <c r="J31" s="26" t="n">
        <f aca="false">IF(D31="Manager",INPUTS!$C$35,IF(D31="Coordinator",INPUTS!$C$36,INPUTS!$C$29*INPUTS!$C$35+INPUTS!$C$30*INPUTS!$C$36))</f>
        <v>90</v>
      </c>
      <c r="K31" s="26" t="n">
        <f aca="false">IF(D31="Manager",INPUTS!$C$33,IF(D31="Coordinator",INPUTS!$C$34,INPUTS!$C$29*INPUTS!$C$33+INPUTS!$C$30*INPUTS!$C$34))</f>
        <v>60</v>
      </c>
      <c r="L31" s="28" t="n">
        <f aca="false">IF(E31="Yes",I31*J31,0)</f>
        <v>540</v>
      </c>
      <c r="M31" s="28" t="n">
        <f aca="false">IF(E31="Yes",I31*K31,0)</f>
        <v>360</v>
      </c>
    </row>
    <row r="32" customFormat="false" ht="15" hidden="false" customHeight="false" outlineLevel="0" collapsed="false">
      <c r="A32" s="50" t="n">
        <v>29</v>
      </c>
      <c r="B32" s="51" t="s">
        <v>230</v>
      </c>
      <c r="C32" s="52" t="s">
        <v>192</v>
      </c>
      <c r="D32" s="52" t="s">
        <v>161</v>
      </c>
      <c r="E32" s="53" t="s">
        <v>98</v>
      </c>
      <c r="F32" s="51" t="s">
        <v>231</v>
      </c>
      <c r="G32" s="54" t="n">
        <f aca="false">ROUND(12*INPUTS!$C$24,0)</f>
        <v>18</v>
      </c>
      <c r="H32" s="55"/>
      <c r="I32" s="54" t="n">
        <f aca="false">IF(ISNUMBER(H32),H32,G32)</f>
        <v>18</v>
      </c>
      <c r="J32" s="56" t="n">
        <f aca="false">IF(D32="Manager",INPUTS!$C$35,IF(D32="Coordinator",INPUTS!$C$36,INPUTS!$C$29*INPUTS!$C$35+INPUTS!$C$30*INPUTS!$C$36))</f>
        <v>65</v>
      </c>
      <c r="K32" s="56" t="n">
        <f aca="false">IF(D32="Manager",INPUTS!$C$33,IF(D32="Coordinator",INPUTS!$C$34,INPUTS!$C$29*INPUTS!$C$33+INPUTS!$C$30*INPUTS!$C$34))</f>
        <v>42</v>
      </c>
      <c r="L32" s="57" t="n">
        <f aca="false">IF(E32="Yes",I32*J32,0)</f>
        <v>0</v>
      </c>
      <c r="M32" s="57" t="n">
        <f aca="false">IF(E32="Yes",I32*K32,0)</f>
        <v>0</v>
      </c>
    </row>
    <row r="33" customFormat="false" ht="15" hidden="false" customHeight="false" outlineLevel="0" collapsed="false">
      <c r="A33" s="46" t="n">
        <v>30</v>
      </c>
      <c r="B33" s="25" t="s">
        <v>232</v>
      </c>
      <c r="C33" s="47" t="s">
        <v>192</v>
      </c>
      <c r="D33" s="47" t="s">
        <v>161</v>
      </c>
      <c r="E33" s="48" t="s">
        <v>98</v>
      </c>
      <c r="F33" s="25" t="s">
        <v>197</v>
      </c>
      <c r="G33" s="27" t="n">
        <f aca="false">ROUND(8*INPUTS!$C$24,0)</f>
        <v>12</v>
      </c>
      <c r="H33" s="49"/>
      <c r="I33" s="27" t="n">
        <f aca="false">IF(ISNUMBER(H33),H33,G33)</f>
        <v>12</v>
      </c>
      <c r="J33" s="26" t="n">
        <f aca="false">IF(D33="Manager",INPUTS!$C$35,IF(D33="Coordinator",INPUTS!$C$36,INPUTS!$C$29*INPUTS!$C$35+INPUTS!$C$30*INPUTS!$C$36))</f>
        <v>65</v>
      </c>
      <c r="K33" s="26" t="n">
        <f aca="false">IF(D33="Manager",INPUTS!$C$33,IF(D33="Coordinator",INPUTS!$C$34,INPUTS!$C$29*INPUTS!$C$33+INPUTS!$C$30*INPUTS!$C$34))</f>
        <v>42</v>
      </c>
      <c r="L33" s="28" t="n">
        <f aca="false">IF(E33="Yes",I33*J33,0)</f>
        <v>0</v>
      </c>
      <c r="M33" s="28" t="n">
        <f aca="false">IF(E33="Yes",I33*K33,0)</f>
        <v>0</v>
      </c>
    </row>
    <row r="34" customFormat="false" ht="15" hidden="false" customHeight="false" outlineLevel="0" collapsed="false">
      <c r="A34" s="50" t="n">
        <v>31</v>
      </c>
      <c r="B34" s="51" t="s">
        <v>233</v>
      </c>
      <c r="C34" s="52" t="s">
        <v>195</v>
      </c>
      <c r="D34" s="52" t="s">
        <v>161</v>
      </c>
      <c r="E34" s="53" t="s">
        <v>162</v>
      </c>
      <c r="F34" s="51" t="s">
        <v>197</v>
      </c>
      <c r="G34" s="54" t="n">
        <f aca="false">ROUND(8*INPUTS!$C$24,0)</f>
        <v>12</v>
      </c>
      <c r="H34" s="55"/>
      <c r="I34" s="54" t="n">
        <f aca="false">IF(ISNUMBER(H34),H34,G34)</f>
        <v>12</v>
      </c>
      <c r="J34" s="56" t="n">
        <f aca="false">IF(D34="Manager",INPUTS!$C$35,IF(D34="Coordinator",INPUTS!$C$36,INPUTS!$C$29*INPUTS!$C$35+INPUTS!$C$30*INPUTS!$C$36))</f>
        <v>65</v>
      </c>
      <c r="K34" s="56" t="n">
        <f aca="false">IF(D34="Manager",INPUTS!$C$33,IF(D34="Coordinator",INPUTS!$C$34,INPUTS!$C$29*INPUTS!$C$33+INPUTS!$C$30*INPUTS!$C$34))</f>
        <v>42</v>
      </c>
      <c r="L34" s="57" t="n">
        <f aca="false">IF(E34="Yes",I34*J34,0)</f>
        <v>780</v>
      </c>
      <c r="M34" s="57" t="n">
        <f aca="false">IF(E34="Yes",I34*K34,0)</f>
        <v>504</v>
      </c>
    </row>
    <row r="35" customFormat="false" ht="15" hidden="false" customHeight="false" outlineLevel="0" collapsed="false">
      <c r="A35" s="46" t="n">
        <v>32</v>
      </c>
      <c r="B35" s="25" t="s">
        <v>234</v>
      </c>
      <c r="C35" s="47" t="s">
        <v>195</v>
      </c>
      <c r="D35" s="47" t="s">
        <v>161</v>
      </c>
      <c r="E35" s="48" t="s">
        <v>162</v>
      </c>
      <c r="F35" s="25" t="s">
        <v>235</v>
      </c>
      <c r="G35" s="27" t="n">
        <f aca="false">ROUND(1*INPUTS!$C$12,0)</f>
        <v>20</v>
      </c>
      <c r="H35" s="49"/>
      <c r="I35" s="27" t="n">
        <f aca="false">IF(ISNUMBER(H35),H35,G35)</f>
        <v>20</v>
      </c>
      <c r="J35" s="26" t="n">
        <f aca="false">IF(D35="Manager",INPUTS!$C$35,IF(D35="Coordinator",INPUTS!$C$36,INPUTS!$C$29*INPUTS!$C$35+INPUTS!$C$30*INPUTS!$C$36))</f>
        <v>65</v>
      </c>
      <c r="K35" s="26" t="n">
        <f aca="false">IF(D35="Manager",INPUTS!$C$33,IF(D35="Coordinator",INPUTS!$C$34,INPUTS!$C$29*INPUTS!$C$33+INPUTS!$C$30*INPUTS!$C$34))</f>
        <v>42</v>
      </c>
      <c r="L35" s="28" t="n">
        <f aca="false">IF(E35="Yes",I35*J35,0)</f>
        <v>1300</v>
      </c>
      <c r="M35" s="28" t="n">
        <f aca="false">IF(E35="Yes",I35*K35,0)</f>
        <v>840</v>
      </c>
    </row>
    <row r="36" customFormat="false" ht="15" hidden="false" customHeight="false" outlineLevel="0" collapsed="false">
      <c r="A36" s="50" t="n">
        <v>33</v>
      </c>
      <c r="B36" s="51" t="s">
        <v>236</v>
      </c>
      <c r="C36" s="52" t="s">
        <v>198</v>
      </c>
      <c r="D36" s="52" t="s">
        <v>161</v>
      </c>
      <c r="E36" s="53" t="s">
        <v>98</v>
      </c>
      <c r="F36" s="51" t="s">
        <v>237</v>
      </c>
      <c r="G36" s="54" t="n">
        <f aca="false">ROUND(0.7*INPUTS!$C$13,0)</f>
        <v>11</v>
      </c>
      <c r="H36" s="55"/>
      <c r="I36" s="54" t="n">
        <f aca="false">IF(ISNUMBER(H36),H36,G36)</f>
        <v>11</v>
      </c>
      <c r="J36" s="56" t="n">
        <f aca="false">IF(D36="Manager",INPUTS!$C$35,IF(D36="Coordinator",INPUTS!$C$36,INPUTS!$C$29*INPUTS!$C$35+INPUTS!$C$30*INPUTS!$C$36))</f>
        <v>65</v>
      </c>
      <c r="K36" s="56" t="n">
        <f aca="false">IF(D36="Manager",INPUTS!$C$33,IF(D36="Coordinator",INPUTS!$C$34,INPUTS!$C$29*INPUTS!$C$33+INPUTS!$C$30*INPUTS!$C$34))</f>
        <v>42</v>
      </c>
      <c r="L36" s="57" t="n">
        <f aca="false">IF(E36="Yes",I36*J36,0)</f>
        <v>0</v>
      </c>
      <c r="M36" s="57" t="n">
        <f aca="false">IF(E36="Yes",I36*K36,0)</f>
        <v>0</v>
      </c>
    </row>
    <row r="37" customFormat="false" ht="15" hidden="false" customHeight="false" outlineLevel="0" collapsed="false">
      <c r="A37" s="46" t="n">
        <v>34</v>
      </c>
      <c r="B37" s="25" t="s">
        <v>238</v>
      </c>
      <c r="C37" s="47" t="s">
        <v>198</v>
      </c>
      <c r="D37" s="47" t="s">
        <v>161</v>
      </c>
      <c r="E37" s="48" t="s">
        <v>98</v>
      </c>
      <c r="F37" s="25" t="s">
        <v>239</v>
      </c>
      <c r="G37" s="27" t="n">
        <f aca="false">ROUND(0.3*INPUTS!$C$13,0)</f>
        <v>5</v>
      </c>
      <c r="H37" s="49"/>
      <c r="I37" s="27" t="n">
        <f aca="false">IF(ISNUMBER(H37),H37,G37)</f>
        <v>5</v>
      </c>
      <c r="J37" s="26" t="n">
        <f aca="false">IF(D37="Manager",INPUTS!$C$35,IF(D37="Coordinator",INPUTS!$C$36,INPUTS!$C$29*INPUTS!$C$35+INPUTS!$C$30*INPUTS!$C$36))</f>
        <v>65</v>
      </c>
      <c r="K37" s="26" t="n">
        <f aca="false">IF(D37="Manager",INPUTS!$C$33,IF(D37="Coordinator",INPUTS!$C$34,INPUTS!$C$29*INPUTS!$C$33+INPUTS!$C$30*INPUTS!$C$34))</f>
        <v>42</v>
      </c>
      <c r="L37" s="28" t="n">
        <f aca="false">IF(E37="Yes",I37*J37,0)</f>
        <v>0</v>
      </c>
      <c r="M37" s="28" t="n">
        <f aca="false">IF(E37="Yes",I37*K37,0)</f>
        <v>0</v>
      </c>
    </row>
    <row r="38" customFormat="false" ht="15" hidden="false" customHeight="false" outlineLevel="0" collapsed="false">
      <c r="A38" s="50" t="n">
        <v>35</v>
      </c>
      <c r="B38" s="51" t="s">
        <v>240</v>
      </c>
      <c r="C38" s="52" t="s">
        <v>201</v>
      </c>
      <c r="D38" s="52" t="s">
        <v>169</v>
      </c>
      <c r="E38" s="53" t="s">
        <v>162</v>
      </c>
      <c r="F38" s="51" t="s">
        <v>209</v>
      </c>
      <c r="G38" s="54" t="n">
        <f aca="false">ROUND(18*INPUTS!$C$24,0)</f>
        <v>28</v>
      </c>
      <c r="H38" s="55"/>
      <c r="I38" s="54" t="n">
        <f aca="false">IF(ISNUMBER(H38),H38,G38)</f>
        <v>28</v>
      </c>
      <c r="J38" s="56" t="n">
        <f aca="false">IF(D38="Manager",INPUTS!$C$35,IF(D38="Coordinator",INPUTS!$C$36,INPUTS!$C$29*INPUTS!$C$35+INPUTS!$C$30*INPUTS!$C$36))</f>
        <v>90</v>
      </c>
      <c r="K38" s="56" t="n">
        <f aca="false">IF(D38="Manager",INPUTS!$C$33,IF(D38="Coordinator",INPUTS!$C$34,INPUTS!$C$29*INPUTS!$C$33+INPUTS!$C$30*INPUTS!$C$34))</f>
        <v>60</v>
      </c>
      <c r="L38" s="57" t="n">
        <f aca="false">IF(E38="Yes",I38*J38,0)</f>
        <v>2520</v>
      </c>
      <c r="M38" s="57" t="n">
        <f aca="false">IF(E38="Yes",I38*K38,0)</f>
        <v>1680</v>
      </c>
    </row>
    <row r="39" customFormat="false" ht="15" hidden="false" customHeight="false" outlineLevel="0" collapsed="false">
      <c r="A39" s="46" t="n">
        <v>36</v>
      </c>
      <c r="B39" s="25" t="s">
        <v>241</v>
      </c>
      <c r="C39" s="47" t="s">
        <v>201</v>
      </c>
      <c r="D39" s="47" t="s">
        <v>169</v>
      </c>
      <c r="E39" s="48" t="s">
        <v>162</v>
      </c>
      <c r="F39" s="25" t="s">
        <v>242</v>
      </c>
      <c r="G39" s="27" t="n">
        <f aca="false">ROUND(15*INPUTS!$C$24,0)</f>
        <v>23</v>
      </c>
      <c r="H39" s="49"/>
      <c r="I39" s="27" t="n">
        <f aca="false">IF(ISNUMBER(H39),H39,G39)</f>
        <v>23</v>
      </c>
      <c r="J39" s="26" t="n">
        <f aca="false">IF(D39="Manager",INPUTS!$C$35,IF(D39="Coordinator",INPUTS!$C$36,INPUTS!$C$29*INPUTS!$C$35+INPUTS!$C$30*INPUTS!$C$36))</f>
        <v>90</v>
      </c>
      <c r="K39" s="26" t="n">
        <f aca="false">IF(D39="Manager",INPUTS!$C$33,IF(D39="Coordinator",INPUTS!$C$34,INPUTS!$C$29*INPUTS!$C$33+INPUTS!$C$30*INPUTS!$C$34))</f>
        <v>60</v>
      </c>
      <c r="L39" s="28" t="n">
        <f aca="false">IF(E39="Yes",I39*J39,0)</f>
        <v>2070</v>
      </c>
      <c r="M39" s="28" t="n">
        <f aca="false">IF(E39="Yes",I39*K39,0)</f>
        <v>1380</v>
      </c>
    </row>
    <row r="40" customFormat="false" ht="15" hidden="false" customHeight="false" outlineLevel="0" collapsed="false">
      <c r="A40" s="46" t="n">
        <v>37</v>
      </c>
      <c r="B40" s="25" t="s">
        <v>243</v>
      </c>
      <c r="C40" s="47" t="s">
        <v>201</v>
      </c>
      <c r="D40" s="47" t="s">
        <v>169</v>
      </c>
      <c r="E40" s="48" t="s">
        <v>162</v>
      </c>
      <c r="F40" s="25" t="s">
        <v>197</v>
      </c>
      <c r="G40" s="27" t="n">
        <f aca="false">ROUND(8*INPUTS!$C$24,0)</f>
        <v>12</v>
      </c>
      <c r="H40" s="49"/>
      <c r="I40" s="27" t="n">
        <f aca="false">IF(ISNUMBER(H40),H40,G40)</f>
        <v>12</v>
      </c>
      <c r="J40" s="26" t="n">
        <f aca="false">IF(D40="Manager",INPUTS!$C$35,IF(D40="Coordinator",INPUTS!$C$36,INPUTS!$C$29*INPUTS!$C$35+INPUTS!$C$30*INPUTS!$C$36))</f>
        <v>90</v>
      </c>
      <c r="K40" s="26" t="n">
        <f aca="false">IF(D40="Manager",INPUTS!$C$33,IF(D40="Coordinator",INPUTS!$C$34,INPUTS!$C$29*INPUTS!$C$33+INPUTS!$C$30*INPUTS!$C$34))</f>
        <v>60</v>
      </c>
      <c r="L40" s="28" t="n">
        <f aca="false">IF(E40="Yes",I40*J40,0)</f>
        <v>1080</v>
      </c>
      <c r="M40" s="28" t="n">
        <f aca="false">IF(E40="Yes",I40*K40,0)</f>
        <v>720</v>
      </c>
    </row>
    <row r="41" customFormat="false" ht="15" hidden="false" customHeight="false" outlineLevel="0" collapsed="false">
      <c r="A41" s="46" t="n">
        <v>38</v>
      </c>
      <c r="B41" s="25" t="s">
        <v>244</v>
      </c>
      <c r="C41" s="47" t="s">
        <v>201</v>
      </c>
      <c r="D41" s="47" t="s">
        <v>169</v>
      </c>
      <c r="E41" s="48" t="s">
        <v>98</v>
      </c>
      <c r="F41" s="25" t="s">
        <v>197</v>
      </c>
      <c r="G41" s="27" t="n">
        <f aca="false">ROUND(8*INPUTS!$C$24,0)</f>
        <v>12</v>
      </c>
      <c r="H41" s="49"/>
      <c r="I41" s="27" t="n">
        <f aca="false">IF(ISNUMBER(H41),H41,G41)</f>
        <v>12</v>
      </c>
      <c r="J41" s="26" t="n">
        <f aca="false">IF(D41="Manager",INPUTS!$C$35,IF(D41="Coordinator",INPUTS!$C$36,INPUTS!$C$29*INPUTS!$C$35+INPUTS!$C$30*INPUTS!$C$36))</f>
        <v>90</v>
      </c>
      <c r="K41" s="26" t="n">
        <f aca="false">IF(D41="Manager",INPUTS!$C$33,IF(D41="Coordinator",INPUTS!$C$34,INPUTS!$C$29*INPUTS!$C$33+INPUTS!$C$30*INPUTS!$C$34))</f>
        <v>60</v>
      </c>
      <c r="L41" s="28" t="n">
        <f aca="false">IF(E41="Yes",I41*J41,0)</f>
        <v>0</v>
      </c>
      <c r="M41" s="28" t="n">
        <f aca="false">IF(E41="Yes",I41*K41,0)</f>
        <v>0</v>
      </c>
    </row>
    <row r="42" customFormat="false" ht="15" hidden="false" customHeight="false" outlineLevel="0" collapsed="false">
      <c r="A42" s="46" t="n">
        <v>39</v>
      </c>
      <c r="B42" s="25" t="s">
        <v>245</v>
      </c>
      <c r="C42" s="47" t="s">
        <v>201</v>
      </c>
      <c r="D42" s="47" t="s">
        <v>169</v>
      </c>
      <c r="E42" s="48" t="s">
        <v>98</v>
      </c>
      <c r="F42" s="25" t="s">
        <v>188</v>
      </c>
      <c r="G42" s="27" t="n">
        <f aca="false">ROUND(10*INPUTS!$C$24,0)</f>
        <v>15</v>
      </c>
      <c r="H42" s="49"/>
      <c r="I42" s="27" t="n">
        <f aca="false">IF(ISNUMBER(H42),H42,G42)</f>
        <v>15</v>
      </c>
      <c r="J42" s="26" t="n">
        <f aca="false">IF(D42="Manager",INPUTS!$C$35,IF(D42="Coordinator",INPUTS!$C$36,INPUTS!$C$29*INPUTS!$C$35+INPUTS!$C$30*INPUTS!$C$36))</f>
        <v>90</v>
      </c>
      <c r="K42" s="26" t="n">
        <f aca="false">IF(D42="Manager",INPUTS!$C$33,IF(D42="Coordinator",INPUTS!$C$34,INPUTS!$C$29*INPUTS!$C$33+INPUTS!$C$30*INPUTS!$C$34))</f>
        <v>60</v>
      </c>
      <c r="L42" s="28" t="n">
        <f aca="false">IF(E42="Yes",I42*J42,0)</f>
        <v>0</v>
      </c>
      <c r="M42" s="28" t="n">
        <f aca="false">IF(E42="Yes",I42*K42,0)</f>
        <v>0</v>
      </c>
    </row>
    <row r="43" customFormat="false" ht="15" hidden="false" customHeight="false" outlineLevel="0" collapsed="false">
      <c r="A43" s="50" t="n">
        <v>40</v>
      </c>
      <c r="B43" s="51" t="s">
        <v>246</v>
      </c>
      <c r="C43" s="52" t="s">
        <v>204</v>
      </c>
      <c r="D43" s="52" t="s">
        <v>161</v>
      </c>
      <c r="E43" s="53" t="s">
        <v>98</v>
      </c>
      <c r="F43" s="51" t="s">
        <v>222</v>
      </c>
      <c r="G43" s="54" t="n">
        <f aca="false">ROUND(3*INPUTS!$C$24,0)</f>
        <v>5</v>
      </c>
      <c r="H43" s="55"/>
      <c r="I43" s="54" t="n">
        <f aca="false">IF(ISNUMBER(H43),H43,G43)</f>
        <v>5</v>
      </c>
      <c r="J43" s="56" t="n">
        <f aca="false">IF(D43="Manager",INPUTS!$C$35,IF(D43="Coordinator",INPUTS!$C$36,INPUTS!$C$29*INPUTS!$C$35+INPUTS!$C$30*INPUTS!$C$36))</f>
        <v>65</v>
      </c>
      <c r="K43" s="56" t="n">
        <f aca="false">IF(D43="Manager",INPUTS!$C$33,IF(D43="Coordinator",INPUTS!$C$34,INPUTS!$C$29*INPUTS!$C$33+INPUTS!$C$30*INPUTS!$C$34))</f>
        <v>42</v>
      </c>
      <c r="L43" s="57" t="n">
        <f aca="false">IF(E43="Yes",I43*J43,0)</f>
        <v>0</v>
      </c>
      <c r="M43" s="57" t="n">
        <f aca="false">IF(E43="Yes",I43*K43,0)</f>
        <v>0</v>
      </c>
    </row>
    <row r="44" customFormat="false" ht="15" hidden="false" customHeight="false" outlineLevel="0" collapsed="false">
      <c r="A44" s="46" t="n">
        <v>41</v>
      </c>
      <c r="B44" s="25" t="s">
        <v>247</v>
      </c>
      <c r="C44" s="47" t="s">
        <v>204</v>
      </c>
      <c r="D44" s="47" t="s">
        <v>161</v>
      </c>
      <c r="E44" s="48" t="s">
        <v>98</v>
      </c>
      <c r="F44" s="25" t="s">
        <v>220</v>
      </c>
      <c r="G44" s="27" t="n">
        <f aca="false">ROUND(4*INPUTS!$C$24,0)</f>
        <v>6</v>
      </c>
      <c r="H44" s="49"/>
      <c r="I44" s="27" t="n">
        <f aca="false">IF(ISNUMBER(H44),H44,G44)</f>
        <v>6</v>
      </c>
      <c r="J44" s="26" t="n">
        <f aca="false">IF(D44="Manager",INPUTS!$C$35,IF(D44="Coordinator",INPUTS!$C$36,INPUTS!$C$29*INPUTS!$C$35+INPUTS!$C$30*INPUTS!$C$36))</f>
        <v>65</v>
      </c>
      <c r="K44" s="26" t="n">
        <f aca="false">IF(D44="Manager",INPUTS!$C$33,IF(D44="Coordinator",INPUTS!$C$34,INPUTS!$C$29*INPUTS!$C$33+INPUTS!$C$30*INPUTS!$C$34))</f>
        <v>42</v>
      </c>
      <c r="L44" s="28" t="n">
        <f aca="false">IF(E44="Yes",I44*J44,0)</f>
        <v>0</v>
      </c>
      <c r="M44" s="28" t="n">
        <f aca="false">IF(E44="Yes",I44*K44,0)</f>
        <v>0</v>
      </c>
    </row>
    <row r="45" customFormat="false" ht="15" hidden="false" customHeight="false" outlineLevel="0" collapsed="false">
      <c r="A45" s="46" t="n">
        <v>42</v>
      </c>
      <c r="B45" s="25" t="s">
        <v>248</v>
      </c>
      <c r="C45" s="47" t="s">
        <v>204</v>
      </c>
      <c r="D45" s="47" t="s">
        <v>161</v>
      </c>
      <c r="E45" s="48" t="s">
        <v>98</v>
      </c>
      <c r="F45" s="25" t="s">
        <v>220</v>
      </c>
      <c r="G45" s="27" t="n">
        <f aca="false">ROUND(4*INPUTS!$C$24,0)</f>
        <v>6</v>
      </c>
      <c r="H45" s="49"/>
      <c r="I45" s="27" t="n">
        <f aca="false">IF(ISNUMBER(H45),H45,G45)</f>
        <v>6</v>
      </c>
      <c r="J45" s="26" t="n">
        <f aca="false">IF(D45="Manager",INPUTS!$C$35,IF(D45="Coordinator",INPUTS!$C$36,INPUTS!$C$29*INPUTS!$C$35+INPUTS!$C$30*INPUTS!$C$36))</f>
        <v>65</v>
      </c>
      <c r="K45" s="26" t="n">
        <f aca="false">IF(D45="Manager",INPUTS!$C$33,IF(D45="Coordinator",INPUTS!$C$34,INPUTS!$C$29*INPUTS!$C$33+INPUTS!$C$30*INPUTS!$C$34))</f>
        <v>42</v>
      </c>
      <c r="L45" s="28" t="n">
        <f aca="false">IF(E45="Yes",I45*J45,0)</f>
        <v>0</v>
      </c>
      <c r="M45" s="28" t="n">
        <f aca="false">IF(E45="Yes",I45*K45,0)</f>
        <v>0</v>
      </c>
    </row>
    <row r="46" customFormat="false" ht="15" hidden="false" customHeight="false" outlineLevel="0" collapsed="false">
      <c r="A46" s="46" t="n">
        <v>43</v>
      </c>
      <c r="B46" s="25" t="s">
        <v>249</v>
      </c>
      <c r="C46" s="47" t="s">
        <v>204</v>
      </c>
      <c r="D46" s="47" t="s">
        <v>161</v>
      </c>
      <c r="E46" s="48" t="s">
        <v>98</v>
      </c>
      <c r="F46" s="25" t="s">
        <v>222</v>
      </c>
      <c r="G46" s="27" t="n">
        <f aca="false">ROUND(3*INPUTS!$C$24,0)</f>
        <v>5</v>
      </c>
      <c r="H46" s="49"/>
      <c r="I46" s="27" t="n">
        <f aca="false">IF(ISNUMBER(H46),H46,G46)</f>
        <v>5</v>
      </c>
      <c r="J46" s="26" t="n">
        <f aca="false">IF(D46="Manager",INPUTS!$C$35,IF(D46="Coordinator",INPUTS!$C$36,INPUTS!$C$29*INPUTS!$C$35+INPUTS!$C$30*INPUTS!$C$36))</f>
        <v>65</v>
      </c>
      <c r="K46" s="26" t="n">
        <f aca="false">IF(D46="Manager",INPUTS!$C$33,IF(D46="Coordinator",INPUTS!$C$34,INPUTS!$C$29*INPUTS!$C$33+INPUTS!$C$30*INPUTS!$C$34))</f>
        <v>42</v>
      </c>
      <c r="L46" s="28" t="n">
        <f aca="false">IF(E46="Yes",I46*J46,0)</f>
        <v>0</v>
      </c>
      <c r="M46" s="28" t="n">
        <f aca="false">IF(E46="Yes",I46*K46,0)</f>
        <v>0</v>
      </c>
    </row>
    <row r="47" customFormat="false" ht="15" hidden="false" customHeight="false" outlineLevel="0" collapsed="false">
      <c r="A47" s="46" t="n">
        <v>44</v>
      </c>
      <c r="B47" s="25" t="s">
        <v>250</v>
      </c>
      <c r="C47" s="47" t="s">
        <v>204</v>
      </c>
      <c r="D47" s="47" t="s">
        <v>161</v>
      </c>
      <c r="E47" s="48" t="s">
        <v>98</v>
      </c>
      <c r="F47" s="25" t="s">
        <v>222</v>
      </c>
      <c r="G47" s="27" t="n">
        <f aca="false">ROUND(3*INPUTS!$C$24,0)</f>
        <v>5</v>
      </c>
      <c r="H47" s="49"/>
      <c r="I47" s="27" t="n">
        <f aca="false">IF(ISNUMBER(H47),H47,G47)</f>
        <v>5</v>
      </c>
      <c r="J47" s="26" t="n">
        <f aca="false">IF(D47="Manager",INPUTS!$C$35,IF(D47="Coordinator",INPUTS!$C$36,INPUTS!$C$29*INPUTS!$C$35+INPUTS!$C$30*INPUTS!$C$36))</f>
        <v>65</v>
      </c>
      <c r="K47" s="26" t="n">
        <f aca="false">IF(D47="Manager",INPUTS!$C$33,IF(D47="Coordinator",INPUTS!$C$34,INPUTS!$C$29*INPUTS!$C$33+INPUTS!$C$30*INPUTS!$C$34))</f>
        <v>42</v>
      </c>
      <c r="L47" s="28" t="n">
        <f aca="false">IF(E47="Yes",I47*J47,0)</f>
        <v>0</v>
      </c>
      <c r="M47" s="28" t="n">
        <f aca="false">IF(E47="Yes",I47*K47,0)</f>
        <v>0</v>
      </c>
    </row>
    <row r="48" customFormat="false" ht="15" hidden="false" customHeight="false" outlineLevel="0" collapsed="false">
      <c r="A48" s="46" t="n">
        <v>45</v>
      </c>
      <c r="B48" s="25" t="s">
        <v>251</v>
      </c>
      <c r="C48" s="47" t="s">
        <v>204</v>
      </c>
      <c r="D48" s="47" t="s">
        <v>161</v>
      </c>
      <c r="E48" s="48" t="s">
        <v>98</v>
      </c>
      <c r="F48" s="25" t="s">
        <v>222</v>
      </c>
      <c r="G48" s="27" t="n">
        <f aca="false">ROUND(3*INPUTS!$C$24,0)</f>
        <v>5</v>
      </c>
      <c r="H48" s="49"/>
      <c r="I48" s="27" t="n">
        <f aca="false">IF(ISNUMBER(H48),H48,G48)</f>
        <v>5</v>
      </c>
      <c r="J48" s="26" t="n">
        <f aca="false">IF(D48="Manager",INPUTS!$C$35,IF(D48="Coordinator",INPUTS!$C$36,INPUTS!$C$29*INPUTS!$C$35+INPUTS!$C$30*INPUTS!$C$36))</f>
        <v>65</v>
      </c>
      <c r="K48" s="26" t="n">
        <f aca="false">IF(D48="Manager",INPUTS!$C$33,IF(D48="Coordinator",INPUTS!$C$34,INPUTS!$C$29*INPUTS!$C$33+INPUTS!$C$30*INPUTS!$C$34))</f>
        <v>42</v>
      </c>
      <c r="L48" s="28" t="n">
        <f aca="false">IF(E48="Yes",I48*J48,0)</f>
        <v>0</v>
      </c>
      <c r="M48" s="28" t="n">
        <f aca="false">IF(E48="Yes",I48*K48,0)</f>
        <v>0</v>
      </c>
    </row>
    <row r="49" customFormat="false" ht="15" hidden="false" customHeight="false" outlineLevel="0" collapsed="false">
      <c r="A49" s="46" t="n">
        <v>46</v>
      </c>
      <c r="B49" s="25" t="s">
        <v>252</v>
      </c>
      <c r="C49" s="47" t="s">
        <v>204</v>
      </c>
      <c r="D49" s="47" t="s">
        <v>161</v>
      </c>
      <c r="E49" s="48" t="s">
        <v>98</v>
      </c>
      <c r="F49" s="25" t="s">
        <v>253</v>
      </c>
      <c r="G49" s="27" t="n">
        <f aca="false">ROUND(2*INPUTS!$C$24,0)</f>
        <v>3</v>
      </c>
      <c r="H49" s="49"/>
      <c r="I49" s="27" t="n">
        <f aca="false">IF(ISNUMBER(H49),H49,G49)</f>
        <v>3</v>
      </c>
      <c r="J49" s="26" t="n">
        <f aca="false">IF(D49="Manager",INPUTS!$C$35,IF(D49="Coordinator",INPUTS!$C$36,INPUTS!$C$29*INPUTS!$C$35+INPUTS!$C$30*INPUTS!$C$36))</f>
        <v>65</v>
      </c>
      <c r="K49" s="26" t="n">
        <f aca="false">IF(D49="Manager",INPUTS!$C$33,IF(D49="Coordinator",INPUTS!$C$34,INPUTS!$C$29*INPUTS!$C$33+INPUTS!$C$30*INPUTS!$C$34))</f>
        <v>42</v>
      </c>
      <c r="L49" s="28" t="n">
        <f aca="false">IF(E49="Yes",I49*J49,0)</f>
        <v>0</v>
      </c>
      <c r="M49" s="28" t="n">
        <f aca="false">IF(E49="Yes",I49*K49,0)</f>
        <v>0</v>
      </c>
    </row>
    <row r="50" customFormat="false" ht="15" hidden="false" customHeight="false" outlineLevel="0" collapsed="false">
      <c r="A50" s="50" t="n">
        <v>47</v>
      </c>
      <c r="B50" s="51" t="s">
        <v>254</v>
      </c>
      <c r="C50" s="52" t="s">
        <v>207</v>
      </c>
      <c r="D50" s="52" t="s">
        <v>169</v>
      </c>
      <c r="E50" s="53" t="s">
        <v>162</v>
      </c>
      <c r="F50" s="51" t="s">
        <v>231</v>
      </c>
      <c r="G50" s="54" t="n">
        <f aca="false">ROUND(12*INPUTS!$C$24,0)</f>
        <v>18</v>
      </c>
      <c r="H50" s="55"/>
      <c r="I50" s="54" t="n">
        <f aca="false">IF(ISNUMBER(H50),H50,G50)</f>
        <v>18</v>
      </c>
      <c r="J50" s="56" t="n">
        <f aca="false">IF(D50="Manager",INPUTS!$C$35,IF(D50="Coordinator",INPUTS!$C$36,INPUTS!$C$29*INPUTS!$C$35+INPUTS!$C$30*INPUTS!$C$36))</f>
        <v>90</v>
      </c>
      <c r="K50" s="56" t="n">
        <f aca="false">IF(D50="Manager",INPUTS!$C$33,IF(D50="Coordinator",INPUTS!$C$34,INPUTS!$C$29*INPUTS!$C$33+INPUTS!$C$30*INPUTS!$C$34))</f>
        <v>60</v>
      </c>
      <c r="L50" s="57" t="n">
        <f aca="false">IF(E50="Yes",I50*J50,0)</f>
        <v>1620</v>
      </c>
      <c r="M50" s="57" t="n">
        <f aca="false">IF(E50="Yes",I50*K50,0)</f>
        <v>1080</v>
      </c>
    </row>
    <row r="51" customFormat="false" ht="15" hidden="false" customHeight="false" outlineLevel="0" collapsed="false">
      <c r="A51" s="50" t="n">
        <v>48</v>
      </c>
      <c r="B51" s="51" t="s">
        <v>255</v>
      </c>
      <c r="C51" s="52" t="s">
        <v>210</v>
      </c>
      <c r="D51" s="52" t="s">
        <v>169</v>
      </c>
      <c r="E51" s="53" t="s">
        <v>98</v>
      </c>
      <c r="F51" s="51" t="s">
        <v>197</v>
      </c>
      <c r="G51" s="54" t="n">
        <f aca="false">ROUND(8*INPUTS!$C$24,0)</f>
        <v>12</v>
      </c>
      <c r="H51" s="55"/>
      <c r="I51" s="54" t="n">
        <f aca="false">IF(ISNUMBER(H51),H51,G51)</f>
        <v>12</v>
      </c>
      <c r="J51" s="56" t="n">
        <f aca="false">IF(D51="Manager",INPUTS!$C$35,IF(D51="Coordinator",INPUTS!$C$36,INPUTS!$C$29*INPUTS!$C$35+INPUTS!$C$30*INPUTS!$C$36))</f>
        <v>90</v>
      </c>
      <c r="K51" s="56" t="n">
        <f aca="false">IF(D51="Manager",INPUTS!$C$33,IF(D51="Coordinator",INPUTS!$C$34,INPUTS!$C$29*INPUTS!$C$33+INPUTS!$C$30*INPUTS!$C$34))</f>
        <v>60</v>
      </c>
      <c r="L51" s="57" t="n">
        <f aca="false">IF(E51="Yes",I51*J51,0)</f>
        <v>0</v>
      </c>
      <c r="M51" s="57" t="n">
        <f aca="false">IF(E51="Yes",I51*K51,0)</f>
        <v>0</v>
      </c>
    </row>
    <row r="52" customFormat="false" ht="15" hidden="false" customHeight="false" outlineLevel="0" collapsed="false">
      <c r="A52" s="46" t="n">
        <v>49</v>
      </c>
      <c r="B52" s="25" t="s">
        <v>256</v>
      </c>
      <c r="C52" s="47" t="s">
        <v>210</v>
      </c>
      <c r="D52" s="47" t="s">
        <v>169</v>
      </c>
      <c r="E52" s="48" t="s">
        <v>98</v>
      </c>
      <c r="F52" s="25" t="s">
        <v>257</v>
      </c>
      <c r="G52" s="27" t="n">
        <f aca="false">ROUND(9*INPUTS!$C$24,0)</f>
        <v>14</v>
      </c>
      <c r="H52" s="49"/>
      <c r="I52" s="27" t="n">
        <f aca="false">IF(ISNUMBER(H52),H52,G52)</f>
        <v>14</v>
      </c>
      <c r="J52" s="26" t="n">
        <f aca="false">IF(D52="Manager",INPUTS!$C$35,IF(D52="Coordinator",INPUTS!$C$36,INPUTS!$C$29*INPUTS!$C$35+INPUTS!$C$30*INPUTS!$C$36))</f>
        <v>90</v>
      </c>
      <c r="K52" s="26" t="n">
        <f aca="false">IF(D52="Manager",INPUTS!$C$33,IF(D52="Coordinator",INPUTS!$C$34,INPUTS!$C$29*INPUTS!$C$33+INPUTS!$C$30*INPUTS!$C$34))</f>
        <v>60</v>
      </c>
      <c r="L52" s="28" t="n">
        <f aca="false">IF(E52="Yes",I52*J52,0)</f>
        <v>0</v>
      </c>
      <c r="M52" s="28" t="n">
        <f aca="false">IF(E52="Yes",I52*K52,0)</f>
        <v>0</v>
      </c>
    </row>
    <row r="53" customFormat="false" ht="15" hidden="false" customHeight="false" outlineLevel="0" collapsed="false">
      <c r="A53" s="46" t="n">
        <v>50</v>
      </c>
      <c r="B53" s="25" t="s">
        <v>258</v>
      </c>
      <c r="C53" s="47" t="s">
        <v>210</v>
      </c>
      <c r="D53" s="47" t="s">
        <v>169</v>
      </c>
      <c r="E53" s="48" t="s">
        <v>98</v>
      </c>
      <c r="F53" s="25" t="s">
        <v>170</v>
      </c>
      <c r="G53" s="27" t="n">
        <f aca="false">ROUND(5*INPUTS!$C$24,0)</f>
        <v>8</v>
      </c>
      <c r="H53" s="49"/>
      <c r="I53" s="27" t="n">
        <f aca="false">IF(ISNUMBER(H53),H53,G53)</f>
        <v>8</v>
      </c>
      <c r="J53" s="26" t="n">
        <f aca="false">IF(D53="Manager",INPUTS!$C$35,IF(D53="Coordinator",INPUTS!$C$36,INPUTS!$C$29*INPUTS!$C$35+INPUTS!$C$30*INPUTS!$C$36))</f>
        <v>90</v>
      </c>
      <c r="K53" s="26" t="n">
        <f aca="false">IF(D53="Manager",INPUTS!$C$33,IF(D53="Coordinator",INPUTS!$C$34,INPUTS!$C$29*INPUTS!$C$33+INPUTS!$C$30*INPUTS!$C$34))</f>
        <v>60</v>
      </c>
      <c r="L53" s="28" t="n">
        <f aca="false">IF(E53="Yes",I53*J53,0)</f>
        <v>0</v>
      </c>
      <c r="M53" s="28" t="n">
        <f aca="false">IF(E53="Yes",I53*K53,0)</f>
        <v>0</v>
      </c>
    </row>
    <row r="54" customFormat="false" ht="15" hidden="false" customHeight="false" outlineLevel="0" collapsed="false">
      <c r="A54" s="46" t="n">
        <v>51</v>
      </c>
      <c r="B54" s="25" t="s">
        <v>259</v>
      </c>
      <c r="C54" s="47" t="s">
        <v>210</v>
      </c>
      <c r="D54" s="47" t="s">
        <v>169</v>
      </c>
      <c r="E54" s="48" t="s">
        <v>98</v>
      </c>
      <c r="F54" s="25" t="s">
        <v>170</v>
      </c>
      <c r="G54" s="27" t="n">
        <f aca="false">ROUND(5*INPUTS!$C$24,0)</f>
        <v>8</v>
      </c>
      <c r="H54" s="49"/>
      <c r="I54" s="27" t="n">
        <f aca="false">IF(ISNUMBER(H54),H54,G54)</f>
        <v>8</v>
      </c>
      <c r="J54" s="26" t="n">
        <f aca="false">IF(D54="Manager",INPUTS!$C$35,IF(D54="Coordinator",INPUTS!$C$36,INPUTS!$C$29*INPUTS!$C$35+INPUTS!$C$30*INPUTS!$C$36))</f>
        <v>90</v>
      </c>
      <c r="K54" s="26" t="n">
        <f aca="false">IF(D54="Manager",INPUTS!$C$33,IF(D54="Coordinator",INPUTS!$C$34,INPUTS!$C$29*INPUTS!$C$33+INPUTS!$C$30*INPUTS!$C$34))</f>
        <v>60</v>
      </c>
      <c r="L54" s="28" t="n">
        <f aca="false">IF(E54="Yes",I54*J54,0)</f>
        <v>0</v>
      </c>
      <c r="M54" s="28" t="n">
        <f aca="false">IF(E54="Yes",I54*K54,0)</f>
        <v>0</v>
      </c>
    </row>
    <row r="55" customFormat="false" ht="15" hidden="false" customHeight="false" outlineLevel="0" collapsed="false">
      <c r="A55" s="50" t="n">
        <v>52</v>
      </c>
      <c r="B55" s="51" t="s">
        <v>260</v>
      </c>
      <c r="C55" s="52" t="s">
        <v>213</v>
      </c>
      <c r="D55" s="52" t="s">
        <v>169</v>
      </c>
      <c r="E55" s="53" t="s">
        <v>162</v>
      </c>
      <c r="F55" s="51" t="s">
        <v>261</v>
      </c>
      <c r="G55" s="54" t="n">
        <f aca="false">ROUND(1*INPUTS!$C$11,0)</f>
        <v>60</v>
      </c>
      <c r="H55" s="55"/>
      <c r="I55" s="54" t="n">
        <f aca="false">IF(ISNUMBER(H55),H55,G55)</f>
        <v>60</v>
      </c>
      <c r="J55" s="56" t="n">
        <f aca="false">IF(D55="Manager",INPUTS!$C$35,IF(D55="Coordinator",INPUTS!$C$36,INPUTS!$C$29*INPUTS!$C$35+INPUTS!$C$30*INPUTS!$C$36))</f>
        <v>90</v>
      </c>
      <c r="K55" s="56" t="n">
        <f aca="false">IF(D55="Manager",INPUTS!$C$33,IF(D55="Coordinator",INPUTS!$C$34,INPUTS!$C$29*INPUTS!$C$33+INPUTS!$C$30*INPUTS!$C$34))</f>
        <v>60</v>
      </c>
      <c r="L55" s="57" t="n">
        <f aca="false">IF(E55="Yes",I55*J55,0)</f>
        <v>5400</v>
      </c>
      <c r="M55" s="57" t="n">
        <f aca="false">IF(E55="Yes",I55*K55,0)</f>
        <v>3600</v>
      </c>
    </row>
    <row r="56" customFormat="false" ht="15" hidden="false" customHeight="false" outlineLevel="0" collapsed="false">
      <c r="A56" s="50" t="n">
        <v>53</v>
      </c>
      <c r="B56" s="51" t="s">
        <v>262</v>
      </c>
      <c r="C56" s="52" t="s">
        <v>216</v>
      </c>
      <c r="D56" s="52" t="s">
        <v>169</v>
      </c>
      <c r="E56" s="53" t="s">
        <v>162</v>
      </c>
      <c r="F56" s="51" t="s">
        <v>188</v>
      </c>
      <c r="G56" s="54" t="n">
        <f aca="false">ROUND(10*INPUTS!$C$24,0)</f>
        <v>15</v>
      </c>
      <c r="H56" s="55"/>
      <c r="I56" s="54" t="n">
        <f aca="false">IF(ISNUMBER(H56),H56,G56)</f>
        <v>15</v>
      </c>
      <c r="J56" s="56" t="n">
        <f aca="false">IF(D56="Manager",INPUTS!$C$35,IF(D56="Coordinator",INPUTS!$C$36,INPUTS!$C$29*INPUTS!$C$35+INPUTS!$C$30*INPUTS!$C$36))</f>
        <v>90</v>
      </c>
      <c r="K56" s="56" t="n">
        <f aca="false">IF(D56="Manager",INPUTS!$C$33,IF(D56="Coordinator",INPUTS!$C$34,INPUTS!$C$29*INPUTS!$C$33+INPUTS!$C$30*INPUTS!$C$34))</f>
        <v>60</v>
      </c>
      <c r="L56" s="57" t="n">
        <f aca="false">IF(E56="Yes",I56*J56,0)</f>
        <v>1350</v>
      </c>
      <c r="M56" s="57" t="n">
        <f aca="false">IF(E56="Yes",I56*K56,0)</f>
        <v>900</v>
      </c>
    </row>
    <row r="57" customFormat="false" ht="15" hidden="false" customHeight="false" outlineLevel="0" collapsed="false">
      <c r="A57" s="50" t="n">
        <v>54</v>
      </c>
      <c r="B57" s="51" t="s">
        <v>263</v>
      </c>
      <c r="C57" s="52" t="s">
        <v>218</v>
      </c>
      <c r="D57" s="52" t="s">
        <v>161</v>
      </c>
      <c r="E57" s="53" t="s">
        <v>98</v>
      </c>
      <c r="F57" s="51" t="s">
        <v>191</v>
      </c>
      <c r="G57" s="54" t="n">
        <f aca="false">ROUND(7*INPUTS!$C$24,0)</f>
        <v>11</v>
      </c>
      <c r="H57" s="55"/>
      <c r="I57" s="54" t="n">
        <f aca="false">IF(ISNUMBER(H57),H57,G57)</f>
        <v>11</v>
      </c>
      <c r="J57" s="56" t="n">
        <f aca="false">IF(D57="Manager",INPUTS!$C$35,IF(D57="Coordinator",INPUTS!$C$36,INPUTS!$C$29*INPUTS!$C$35+INPUTS!$C$30*INPUTS!$C$36))</f>
        <v>65</v>
      </c>
      <c r="K57" s="56" t="n">
        <f aca="false">IF(D57="Manager",INPUTS!$C$33,IF(D57="Coordinator",INPUTS!$C$34,INPUTS!$C$29*INPUTS!$C$33+INPUTS!$C$30*INPUTS!$C$34))</f>
        <v>42</v>
      </c>
      <c r="L57" s="57" t="n">
        <f aca="false">IF(E57="Yes",I57*J57,0)</f>
        <v>0</v>
      </c>
      <c r="M57" s="57" t="n">
        <f aca="false">IF(E57="Yes",I57*K57,0)</f>
        <v>0</v>
      </c>
    </row>
    <row r="58" customFormat="false" ht="15" hidden="false" customHeight="false" outlineLevel="0" collapsed="false">
      <c r="A58" s="46" t="n">
        <v>55</v>
      </c>
      <c r="B58" s="25" t="s">
        <v>264</v>
      </c>
      <c r="C58" s="47" t="s">
        <v>218</v>
      </c>
      <c r="D58" s="47" t="s">
        <v>161</v>
      </c>
      <c r="E58" s="48" t="s">
        <v>98</v>
      </c>
      <c r="F58" s="25" t="s">
        <v>197</v>
      </c>
      <c r="G58" s="27" t="n">
        <f aca="false">ROUND(8*INPUTS!$C$24,0)</f>
        <v>12</v>
      </c>
      <c r="H58" s="49"/>
      <c r="I58" s="27" t="n">
        <f aca="false">IF(ISNUMBER(H58),H58,G58)</f>
        <v>12</v>
      </c>
      <c r="J58" s="26" t="n">
        <f aca="false">IF(D58="Manager",INPUTS!$C$35,IF(D58="Coordinator",INPUTS!$C$36,INPUTS!$C$29*INPUTS!$C$35+INPUTS!$C$30*INPUTS!$C$36))</f>
        <v>65</v>
      </c>
      <c r="K58" s="26" t="n">
        <f aca="false">IF(D58="Manager",INPUTS!$C$33,IF(D58="Coordinator",INPUTS!$C$34,INPUTS!$C$29*INPUTS!$C$33+INPUTS!$C$30*INPUTS!$C$34))</f>
        <v>42</v>
      </c>
      <c r="L58" s="28" t="n">
        <f aca="false">IF(E58="Yes",I58*J58,0)</f>
        <v>0</v>
      </c>
      <c r="M58" s="28" t="n">
        <f aca="false">IF(E58="Yes",I58*K58,0)</f>
        <v>0</v>
      </c>
    </row>
    <row r="59" customFormat="false" ht="15" hidden="false" customHeight="false" outlineLevel="0" collapsed="false">
      <c r="A59" s="46" t="n">
        <v>56</v>
      </c>
      <c r="B59" s="25" t="s">
        <v>265</v>
      </c>
      <c r="C59" s="47" t="s">
        <v>218</v>
      </c>
      <c r="D59" s="47" t="s">
        <v>161</v>
      </c>
      <c r="E59" s="48" t="s">
        <v>98</v>
      </c>
      <c r="F59" s="25" t="s">
        <v>191</v>
      </c>
      <c r="G59" s="27" t="n">
        <f aca="false">ROUND(7*INPUTS!$C$24,0)</f>
        <v>11</v>
      </c>
      <c r="H59" s="49"/>
      <c r="I59" s="27" t="n">
        <f aca="false">IF(ISNUMBER(H59),H59,G59)</f>
        <v>11</v>
      </c>
      <c r="J59" s="26" t="n">
        <f aca="false">IF(D59="Manager",INPUTS!$C$35,IF(D59="Coordinator",INPUTS!$C$36,INPUTS!$C$29*INPUTS!$C$35+INPUTS!$C$30*INPUTS!$C$36))</f>
        <v>65</v>
      </c>
      <c r="K59" s="26" t="n">
        <f aca="false">IF(D59="Manager",INPUTS!$C$33,IF(D59="Coordinator",INPUTS!$C$34,INPUTS!$C$29*INPUTS!$C$33+INPUTS!$C$30*INPUTS!$C$34))</f>
        <v>42</v>
      </c>
      <c r="L59" s="28" t="n">
        <f aca="false">IF(E59="Yes",I59*J59,0)</f>
        <v>0</v>
      </c>
      <c r="M59" s="28" t="n">
        <f aca="false">IF(E59="Yes",I59*K59,0)</f>
        <v>0</v>
      </c>
    </row>
    <row r="60" customFormat="false" ht="15" hidden="false" customHeight="false" outlineLevel="0" collapsed="false">
      <c r="A60" s="18"/>
      <c r="B60" s="18" t="s">
        <v>266</v>
      </c>
      <c r="C60" s="18"/>
      <c r="D60" s="18"/>
      <c r="E60" s="18"/>
      <c r="F60" s="18"/>
      <c r="G60" s="18"/>
      <c r="H60" s="18"/>
      <c r="I60" s="19" t="n">
        <f aca="false">SUMIF($E$4:$E$59,"Yes",$I$4:$I$59)</f>
        <v>568</v>
      </c>
      <c r="J60" s="18"/>
      <c r="K60" s="18"/>
      <c r="L60" s="21" t="n">
        <f aca="false">SUM(L4:L59)</f>
        <v>48830</v>
      </c>
      <c r="M60" s="21" t="n">
        <f aca="false">SUM(M4:M59)</f>
        <v>32244</v>
      </c>
    </row>
  </sheetData>
  <dataValidations count="1">
    <dataValidation allowBlank="false" errorStyle="stop" operator="between" showDropDown="false" showErrorMessage="false" showInputMessage="false" sqref="E4:E5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24" hidden="false" customHeight="true" outlineLevel="0" collapsed="false">
      <c r="B1" s="1" t="s">
        <v>267</v>
      </c>
    </row>
    <row r="3" customFormat="false" ht="19.5" hidden="false" customHeight="true" outlineLevel="0" collapsed="false">
      <c r="B3" s="3" t="s">
        <v>268</v>
      </c>
    </row>
    <row r="4" customFormat="false" ht="15" hidden="false" customHeight="true" outlineLevel="0" collapsed="false">
      <c r="B4" s="58" t="s">
        <v>269</v>
      </c>
    </row>
    <row r="5" customFormat="false" ht="15" hidden="false" customHeight="true" outlineLevel="0" collapsed="false">
      <c r="B5" s="58" t="s">
        <v>270</v>
      </c>
    </row>
    <row r="6" customFormat="false" ht="15" hidden="false" customHeight="true" outlineLevel="0" collapsed="false">
      <c r="B6" s="58" t="s">
        <v>271</v>
      </c>
    </row>
    <row r="7" customFormat="false" ht="15" hidden="false" customHeight="true" outlineLevel="0" collapsed="false">
      <c r="B7" s="58" t="s">
        <v>272</v>
      </c>
    </row>
    <row r="9" customFormat="false" ht="19.5" hidden="false" customHeight="true" outlineLevel="0" collapsed="false">
      <c r="B9" s="3" t="s">
        <v>273</v>
      </c>
    </row>
    <row r="10" customFormat="false" ht="30" hidden="false" customHeight="true" outlineLevel="0" collapsed="false">
      <c r="B10" s="58" t="s">
        <v>274</v>
      </c>
    </row>
    <row r="11" customFormat="false" ht="30" hidden="false" customHeight="true" outlineLevel="0" collapsed="false">
      <c r="B11" s="58" t="s">
        <v>275</v>
      </c>
    </row>
    <row r="13" customFormat="false" ht="19.5" hidden="false" customHeight="true" outlineLevel="0" collapsed="false">
      <c r="B13" s="3" t="s">
        <v>276</v>
      </c>
    </row>
    <row r="14" customFormat="false" ht="30" hidden="false" customHeight="true" outlineLevel="0" collapsed="false">
      <c r="B14" s="58" t="s">
        <v>277</v>
      </c>
    </row>
    <row r="15" customFormat="false" ht="15" hidden="false" customHeight="true" outlineLevel="0" collapsed="false">
      <c r="B15" s="58" t="s">
        <v>278</v>
      </c>
    </row>
    <row r="17" customFormat="false" ht="19.5" hidden="false" customHeight="true" outlineLevel="0" collapsed="false">
      <c r="B17" s="3" t="s">
        <v>279</v>
      </c>
    </row>
    <row r="18" customFormat="false" ht="30" hidden="false" customHeight="true" outlineLevel="0" collapsed="false">
      <c r="B18" s="58" t="s">
        <v>280</v>
      </c>
    </row>
    <row r="19" customFormat="false" ht="15" hidden="false" customHeight="true" outlineLevel="0" collapsed="false">
      <c r="B19" s="58" t="s">
        <v>281</v>
      </c>
    </row>
    <row r="20" customFormat="false" ht="45" hidden="false" customHeight="true" outlineLevel="0" collapsed="false">
      <c r="B20" s="58" t="s">
        <v>282</v>
      </c>
    </row>
    <row r="21" customFormat="false" ht="45" hidden="false" customHeight="true" outlineLevel="0" collapsed="false">
      <c r="B21" s="58" t="s">
        <v>283</v>
      </c>
    </row>
    <row r="23" customFormat="false" ht="19.5" hidden="false" customHeight="true" outlineLevel="0" collapsed="false">
      <c r="B23" s="3" t="s">
        <v>284</v>
      </c>
    </row>
    <row r="24" customFormat="false" ht="30" hidden="false" customHeight="true" outlineLevel="0" collapsed="false">
      <c r="B24" s="58" t="s">
        <v>285</v>
      </c>
    </row>
    <row r="25" customFormat="false" ht="15" hidden="false" customHeight="true" outlineLevel="0" collapsed="false">
      <c r="B25" s="58" t="s">
        <v>286</v>
      </c>
    </row>
    <row r="26" customFormat="false" ht="30" hidden="false" customHeight="true" outlineLevel="0" collapsed="false">
      <c r="B26" s="58" t="s">
        <v>287</v>
      </c>
    </row>
    <row r="27" customFormat="false" ht="30" hidden="false" customHeight="true" outlineLevel="0" collapsed="false">
      <c r="B27" s="58" t="s">
        <v>288</v>
      </c>
    </row>
    <row r="28" customFormat="false" ht="30" hidden="false" customHeight="true" outlineLevel="0" collapsed="false">
      <c r="B28" s="58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2026-08-20T17:14:55Z</dcterms:created>
  <dc:creator>openpyxl</dc:creator>
  <dc:description/>
  <dc:language>en-US</dc:language>
  <cp:lastModifiedBy/>
  <dcterms:modified xsi:type="dcterms:W3CDTF">2026-08-20T17:14:55Z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