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mp;L" sheetId="1" state="visible" r:id="rId3"/>
    <sheet name="INPUTS" sheetId="2" state="visible" r:id="rId4"/>
    <sheet name="SCOPE" sheetId="3" state="visible" r:id="rId5"/>
    <sheet name="HOW TO US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<sst xmlns="http://schemas.openxmlformats.org/spreadsheetml/2006/main" count="527" uniqueCount="298">
  <si>
    <t xml:space="preserve">PROPOSAL SUMMARY</t>
  </si>
  <si>
    <t xml:space="preserve">ITEM</t>
  </si>
  <si>
    <t xml:space="preserve">CLIENT COST</t>
  </si>
  <si>
    <t xml:space="preserve">OUR COST</t>
  </si>
  <si>
    <t xml:space="preserve">NET PROFIT</t>
  </si>
  <si>
    <t xml:space="preserve">% Profit</t>
  </si>
  <si>
    <t xml:space="preserve">TOTALS</t>
  </si>
  <si>
    <t xml:space="preserve">GRAND TOTAL</t>
  </si>
  <si>
    <t xml:space="preserve">PRE-PLANNING WORKLOAD</t>
  </si>
  <si>
    <t xml:space="preserve">TRUE COST VIEW</t>
  </si>
  <si>
    <t xml:space="preserve">CATEGORY</t>
  </si>
  <si>
    <t xml:space="preserve">HOURS</t>
  </si>
  <si>
    <t xml:space="preserve">OUR RATE / HR</t>
  </si>
  <si>
    <t xml:space="preserve">STAFF</t>
  </si>
  <si>
    <t xml:space="preserve">HRS / PERSON / WEEK</t>
  </si>
  <si>
    <t xml:space="preserve">Managers</t>
  </si>
  <si>
    <t xml:space="preserve">True cost of delivery</t>
  </si>
  <si>
    <t xml:space="preserve">Coordinators</t>
  </si>
  <si>
    <t xml:space="preserve">True net profit</t>
  </si>
  <si>
    <t xml:space="preserve">Team (project management &amp; meetings)</t>
  </si>
  <si>
    <t xml:space="preserve">True net margin</t>
  </si>
  <si>
    <t xml:space="preserve">TOTAL PRE-PLANNING</t>
  </si>
  <si>
    <t xml:space="preserve">Client price for target margin</t>
  </si>
  <si>
    <t xml:space="preserve">EVENT MANAGEMENT</t>
  </si>
  <si>
    <t xml:space="preserve">SCOPE OF WORK</t>
  </si>
  <si>
    <t xml:space="preserve">CLIENT RATE</t>
  </si>
  <si>
    <t xml:space="preserve">OUR RATE</t>
  </si>
  <si>
    <t xml:space="preserve">ONSITE MANAGEMENT</t>
  </si>
  <si>
    <t xml:space="preserve">STAFF OVERHEAD</t>
  </si>
  <si>
    <t xml:space="preserve">STAFF HOURS</t>
  </si>
  <si>
    <t xml:space="preserve">RATE / HR</t>
  </si>
  <si>
    <t xml:space="preserve">OVERHEAD COST</t>
  </si>
  <si>
    <t xml:space="preserve">Pre-planning staff hours</t>
  </si>
  <si>
    <t xml:space="preserve">Onsite staff hours (incl. overtime)</t>
  </si>
  <si>
    <t xml:space="preserve">TOTAL STAFF OVERHEAD</t>
  </si>
  <si>
    <t xml:space="preserve">Overhead is a CTC cost — not billed, so it comes out of margin. The admin fee is charged on top of the client subtotal.</t>
  </si>
  <si>
    <t xml:space="preserve">CTC CONFERENCE P&amp;L BUILDER  —  INPUTS</t>
  </si>
  <si>
    <t xml:space="preserve">Type in the yellow cells only. Choose the scope of work on the SCOPE tab. The P&amp;L tab is all formulas — nothing to fill in there.</t>
  </si>
  <si>
    <t xml:space="preserve">1.  EVENT PROFILE</t>
  </si>
  <si>
    <t xml:space="preserve">Event / Client Name</t>
  </si>
  <si>
    <t xml:space="preserve">New Conference 2027</t>
  </si>
  <si>
    <t xml:space="preserve">Event Dates (display text)</t>
  </si>
  <si>
    <t xml:space="preserve">April 6-8, 2027</t>
  </si>
  <si>
    <t xml:space="preserve">Location</t>
  </si>
  <si>
    <t xml:space="preserve">Los Angeles, CA</t>
  </si>
  <si>
    <t xml:space="preserve">2.  EVENT SIZE</t>
  </si>
  <si>
    <t xml:space="preserve">Attendees</t>
  </si>
  <si>
    <t xml:space="preserve">Main driver of the Event Scale Index below</t>
  </si>
  <si>
    <t xml:space="preserve">Exhibitors</t>
  </si>
  <si>
    <t xml:space="preserve">Exhibit Management bills at 1 hour per exhibitor</t>
  </si>
  <si>
    <t xml:space="preserve">Sponsors</t>
  </si>
  <si>
    <t xml:space="preserve">Sponsor Management bills at 1 hour per sponsor</t>
  </si>
  <si>
    <t xml:space="preserve">Speakers</t>
  </si>
  <si>
    <t xml:space="preserve">Speaker Management bills at 1 hour per speaker, split prep / onsite</t>
  </si>
  <si>
    <t xml:space="preserve">Third-Party Vendors to Source</t>
  </si>
  <si>
    <t xml:space="preserve">Third Party Vendors bills at 5 hours per vendor sourced</t>
  </si>
  <si>
    <t xml:space="preserve">Site Visits</t>
  </si>
  <si>
    <t xml:space="preserve">Site Visits bills at 10 hours each (travel, walk-through, write-up)</t>
  </si>
  <si>
    <t xml:space="preserve">3.  SCHEDULE</t>
  </si>
  <si>
    <t xml:space="preserve">Event Days</t>
  </si>
  <si>
    <t xml:space="preserve">Set-Up / Load-In Days</t>
  </si>
  <si>
    <t xml:space="preserve">Travel Days</t>
  </si>
  <si>
    <t xml:space="preserve">TOTAL ONSITE DAYS</t>
  </si>
  <si>
    <t xml:space="preserve">Months of Pre-Planning</t>
  </si>
  <si>
    <t xml:space="preserve">Months from contract signature to day 1 of the event</t>
  </si>
  <si>
    <t xml:space="preserve">Planning Weeks</t>
  </si>
  <si>
    <t xml:space="preserve">Weekly meetings, the project management system and approvals key off this</t>
  </si>
  <si>
    <t xml:space="preserve">EVENT SCALE INDEX</t>
  </si>
  <si>
    <t xml:space="preserve">Calculated, not typed. 1.00 = a 250-person, 3-day event with 6 months of planning. Doubling attendance moves it about 26%, not 100%.</t>
  </si>
  <si>
    <t xml:space="preserve">4.  STAFFING  (headcount)</t>
  </si>
  <si>
    <t xml:space="preserve">ONSITE — Managers</t>
  </si>
  <si>
    <t xml:space="preserve">Onsite staff are costed PER PERSON — one line each on the P&amp;L</t>
  </si>
  <si>
    <t xml:space="preserve">ONSITE — Coordinators</t>
  </si>
  <si>
    <t xml:space="preserve">PRE-PLANNING — Managers</t>
  </si>
  <si>
    <t xml:space="preserve">Pre-planning is costed BY CATEGORY. Headcount sets the weekly meeting rate and the workload check on the P&amp;L.</t>
  </si>
  <si>
    <t xml:space="preserve">PRE-PLANNING — Coordinators</t>
  </si>
  <si>
    <t xml:space="preserve">5.  RATES</t>
  </si>
  <si>
    <t xml:space="preserve">Manager — OUR COST / hr</t>
  </si>
  <si>
    <t xml:space="preserve">Applies to every manager hour, pre-planning and onsite</t>
  </si>
  <si>
    <t xml:space="preserve">Coordinator — OUR COST / hr</t>
  </si>
  <si>
    <t xml:space="preserve">Applies to every coordinator hour, pre-planning and onsite</t>
  </si>
  <si>
    <t xml:space="preserve">Manager — CLIENT RATE / hr (pre-planning)</t>
  </si>
  <si>
    <t xml:space="preserve">Coordinator — CLIENT RATE / hr (pre-planning)</t>
  </si>
  <si>
    <t xml:space="preserve">Manager — CLIENT RATE / hr (onsite)</t>
  </si>
  <si>
    <t xml:space="preserve">Coordinator — CLIENT RATE / hr (onsite)</t>
  </si>
  <si>
    <t xml:space="preserve">Overtime Multiplier</t>
  </si>
  <si>
    <t xml:space="preserve">Coordinator overtime is billed and costed at 1.5x</t>
  </si>
  <si>
    <t xml:space="preserve">6.  ONSITE HOURS PER DAY</t>
  </si>
  <si>
    <t xml:space="preserve">Manager hours per onsite day</t>
  </si>
  <si>
    <t xml:space="preserve">Applied to event days + set-up days</t>
  </si>
  <si>
    <t xml:space="preserve">Coordinator REGULAR hours per onsite day</t>
  </si>
  <si>
    <t xml:space="preserve">Coordinators run 8 regular + 2 overtime on a normal show day</t>
  </si>
  <si>
    <t xml:space="preserve">Coordinator OVERTIME hours per onsite day</t>
  </si>
  <si>
    <t xml:space="preserve">Hours per travel day</t>
  </si>
  <si>
    <t xml:space="preserve">7.  OVERHEAD, FEES &amp; DISCOUNTS</t>
  </si>
  <si>
    <t xml:space="preserve">Staff Overhead per hour</t>
  </si>
  <si>
    <t xml:space="preserve">Charged against every CTC staff hour. A cost to us — not billed.</t>
  </si>
  <si>
    <t xml:space="preserve">Admin Fee %</t>
  </si>
  <si>
    <t xml:space="preserve">2% of the client subtotal, added to the client price. No cost against it.</t>
  </si>
  <si>
    <t xml:space="preserve">Multi-Year Discount %</t>
  </si>
  <si>
    <t xml:space="preserve">The '5% off additional years' line, off unless switched on below.</t>
  </si>
  <si>
    <t xml:space="preserve">Apply Multi-Year Discount?</t>
  </si>
  <si>
    <t xml:space="preserve">No</t>
  </si>
  <si>
    <t xml:space="preserve">Target Net Margin %</t>
  </si>
  <si>
    <t xml:space="preserve">Used by the margin check on the P&amp;L — what client price hits this margin.</t>
  </si>
  <si>
    <t xml:space="preserve">Utilization %</t>
  </si>
  <si>
    <t xml:space="preserve">Share of a paid hour that is billable to a client. 100% leaves the P&amp;L exactly as quoted; agencies plan around 75-85%. Measure it before trusting it.</t>
  </si>
  <si>
    <t xml:space="preserve">Overhead % of direct labor</t>
  </si>
  <si>
    <t xml:space="preserve">Rent, software, insurance, non-billable salaries as a share of staff cost. Typical agency range 15-30%. Feeds the TRUE COST view only.</t>
  </si>
  <si>
    <t xml:space="preserve">8.  ONSITE ROLE TITLES</t>
  </si>
  <si>
    <t xml:space="preserve">ONSITE MANAGERS</t>
  </si>
  <si>
    <t xml:space="preserve">Only the first N lines are used, where N is the headcount in section 4. Titles are labels only — rates come from section 5.</t>
  </si>
  <si>
    <t xml:space="preserve">    Manager 1</t>
  </si>
  <si>
    <t xml:space="preserve">Project Manager</t>
  </si>
  <si>
    <t xml:space="preserve">    Manager 2</t>
  </si>
  <si>
    <t xml:space="preserve">Event Manager</t>
  </si>
  <si>
    <t xml:space="preserve">    Manager 3</t>
  </si>
  <si>
    <t xml:space="preserve">Executive Producer</t>
  </si>
  <si>
    <t xml:space="preserve">    Manager 4</t>
  </si>
  <si>
    <t xml:space="preserve">Registration Manager</t>
  </si>
  <si>
    <t xml:space="preserve">    Manager 5</t>
  </si>
  <si>
    <t xml:space="preserve">Housing / Expo Manager</t>
  </si>
  <si>
    <t xml:space="preserve">    Manager 6</t>
  </si>
  <si>
    <t xml:space="preserve">Production Manager</t>
  </si>
  <si>
    <t xml:space="preserve">    Manager 7</t>
  </si>
  <si>
    <t xml:space="preserve">Manager 7</t>
  </si>
  <si>
    <t xml:space="preserve">    Manager 8</t>
  </si>
  <si>
    <t xml:space="preserve">Manager 8</t>
  </si>
  <si>
    <t xml:space="preserve">    Manager 9</t>
  </si>
  <si>
    <t xml:space="preserve">Manager 9</t>
  </si>
  <si>
    <t xml:space="preserve">    Manager 10</t>
  </si>
  <si>
    <t xml:space="preserve">Manager 10</t>
  </si>
  <si>
    <t xml:space="preserve">ONSITE COORDINATORS</t>
  </si>
  <si>
    <t xml:space="preserve">    Coordinator 1</t>
  </si>
  <si>
    <t xml:space="preserve">Event Coordinator</t>
  </si>
  <si>
    <t xml:space="preserve">    Coordinator 2</t>
  </si>
  <si>
    <t xml:space="preserve">Registration Coordinator</t>
  </si>
  <si>
    <t xml:space="preserve">    Coordinator 3</t>
  </si>
  <si>
    <t xml:space="preserve">Office Manager</t>
  </si>
  <si>
    <t xml:space="preserve">    Coordinator 4</t>
  </si>
  <si>
    <t xml:space="preserve">Production Assistant</t>
  </si>
  <si>
    <t xml:space="preserve">    Coordinator 5</t>
  </si>
  <si>
    <t xml:space="preserve">Exhibit Coordinator</t>
  </si>
  <si>
    <t xml:space="preserve">    Coordinator 6</t>
  </si>
  <si>
    <t xml:space="preserve">Housing Coordinator</t>
  </si>
  <si>
    <t xml:space="preserve">    Coordinator 7</t>
  </si>
  <si>
    <t xml:space="preserve">Coordinator 7</t>
  </si>
  <si>
    <t xml:space="preserve">    Coordinator 8</t>
  </si>
  <si>
    <t xml:space="preserve">Coordinator 8</t>
  </si>
  <si>
    <t xml:space="preserve">    Coordinator 9</t>
  </si>
  <si>
    <t xml:space="preserve">Coordinator 9</t>
  </si>
  <si>
    <t xml:space="preserve">    Coordinator 10</t>
  </si>
  <si>
    <t xml:space="preserve">Coordinator 10</t>
  </si>
  <si>
    <t xml:space="preserve">Headings are grey; the lines underneath are what you switch on. Hours calculate from the INPUTS tab — type a number into OVERRIDE HOURS to force any line. The P&amp;L reports at heading level.</t>
  </si>
  <si>
    <t xml:space="preserve">#</t>
  </si>
  <si>
    <t xml:space="preserve">INCLUDE?</t>
  </si>
  <si>
    <t xml:space="preserve">HOW THE HOURS ARE CALCULATED</t>
  </si>
  <si>
    <t xml:space="preserve">CALC.
HOURS</t>
  </si>
  <si>
    <t xml:space="preserve">OVERRIDE
HOURS</t>
  </si>
  <si>
    <t xml:space="preserve">HOURS
USED</t>
  </si>
  <si>
    <t xml:space="preserve">CLIENT
RATE</t>
  </si>
  <si>
    <t xml:space="preserve">OUR
RATE</t>
  </si>
  <si>
    <t xml:space="preserve">CLIENT
COST</t>
  </si>
  <si>
    <t xml:space="preserve">OUR
COST</t>
  </si>
  <si>
    <t xml:space="preserve">HEADING</t>
  </si>
  <si>
    <t xml:space="preserve">SEQ</t>
  </si>
  <si>
    <t xml:space="preserve">PLANNING, TIMELINE &amp; COMMUNICATIONS</t>
  </si>
  <si>
    <t xml:space="preserve">      Project management system, meetings &amp; minutes, roles, approvals</t>
  </si>
  <si>
    <t xml:space="preserve">Team</t>
  </si>
  <si>
    <t xml:space="preserve">Yes</t>
  </si>
  <si>
    <t xml:space="preserve">3 hrs per planning week + 5 x scale index — always included</t>
  </si>
  <si>
    <t xml:space="preserve">VENUE SOURCING</t>
  </si>
  <si>
    <t xml:space="preserve">VENUE MANAGEMENT</t>
  </si>
  <si>
    <t xml:space="preserve">      Request for Proposal</t>
  </si>
  <si>
    <t xml:space="preserve">Manager</t>
  </si>
  <si>
    <t xml:space="preserve">6 x scale index</t>
  </si>
  <si>
    <t xml:space="preserve">EVENT BRANDING</t>
  </si>
  <si>
    <t xml:space="preserve">      Venue/Hotel Analysis</t>
  </si>
  <si>
    <t xml:space="preserve">FOOD &amp; BEVERAGE</t>
  </si>
  <si>
    <t xml:space="preserve">      Site Visits</t>
  </si>
  <si>
    <t xml:space="preserve">10 hrs per site visit</t>
  </si>
  <si>
    <t xml:space="preserve">REGISTRATION</t>
  </si>
  <si>
    <t xml:space="preserve">      Contract Negotiations</t>
  </si>
  <si>
    <t xml:space="preserve">5 x scale index</t>
  </si>
  <si>
    <t xml:space="preserve">SWAG BAG</t>
  </si>
  <si>
    <t xml:space="preserve">HOUSING LOGISTICS</t>
  </si>
  <si>
    <t xml:space="preserve">      Venue Logistics</t>
  </si>
  <si>
    <t xml:space="preserve">16 x scale index</t>
  </si>
  <si>
    <t xml:space="preserve">THIRD PARTY VENDORS</t>
  </si>
  <si>
    <t xml:space="preserve">      Meeting Space</t>
  </si>
  <si>
    <t xml:space="preserve">10 x scale index</t>
  </si>
  <si>
    <t xml:space="preserve">STAFF MANAGEMENT</t>
  </si>
  <si>
    <t xml:space="preserve">VIP &amp; PRESS LOGISTICS</t>
  </si>
  <si>
    <t xml:space="preserve">      Attendee Experience</t>
  </si>
  <si>
    <t xml:space="preserve">7 x scale index</t>
  </si>
  <si>
    <t xml:space="preserve">SPONSORSHIPS</t>
  </si>
  <si>
    <t xml:space="preserve">      Signage</t>
  </si>
  <si>
    <t xml:space="preserve">14 x scale index</t>
  </si>
  <si>
    <t xml:space="preserve">SPEAKER MANAGEMENT</t>
  </si>
  <si>
    <t xml:space="preserve">      Décor</t>
  </si>
  <si>
    <t xml:space="preserve">8 x scale index</t>
  </si>
  <si>
    <t xml:space="preserve">PROGRAMMING</t>
  </si>
  <si>
    <t xml:space="preserve">      Graphic Design (add-on)</t>
  </si>
  <si>
    <t xml:space="preserve">26 x scale index</t>
  </si>
  <si>
    <t xml:space="preserve">RECEPTION PLANNING</t>
  </si>
  <si>
    <t xml:space="preserve">FINANCIAL MANAGEMENT</t>
  </si>
  <si>
    <t xml:space="preserve">      Food &amp; Beverage Management</t>
  </si>
  <si>
    <t xml:space="preserve">22 x scale index</t>
  </si>
  <si>
    <t xml:space="preserve">EVENT MARKETING</t>
  </si>
  <si>
    <t xml:space="preserve">EXHIBIT MANAGEMENT</t>
  </si>
  <si>
    <t xml:space="preserve">      Online Registration / Build-Out</t>
  </si>
  <si>
    <t xml:space="preserve">Coordinator</t>
  </si>
  <si>
    <t xml:space="preserve">35 x scale index</t>
  </si>
  <si>
    <t xml:space="preserve">POST-EVENT</t>
  </si>
  <si>
    <t xml:space="preserve">      Onsite Registration</t>
  </si>
  <si>
    <t xml:space="preserve">18 x scale index</t>
  </si>
  <si>
    <t xml:space="preserve">TOURNAMENTS</t>
  </si>
  <si>
    <t xml:space="preserve">      Mobile App</t>
  </si>
  <si>
    <t xml:space="preserve">25 x scale index</t>
  </si>
  <si>
    <t xml:space="preserve">      Swag Bag Sourcing, Assembly &amp; Distribution</t>
  </si>
  <si>
    <t xml:space="preserve">20 x scale index</t>
  </si>
  <si>
    <t xml:space="preserve">      Room Blocks</t>
  </si>
  <si>
    <t xml:space="preserve">      Housing Reports</t>
  </si>
  <si>
    <t xml:space="preserve">4 x scale index</t>
  </si>
  <si>
    <t xml:space="preserve">      Concession Management</t>
  </si>
  <si>
    <t xml:space="preserve">3 x scale index</t>
  </si>
  <si>
    <t xml:space="preserve">      Attendee Liaison</t>
  </si>
  <si>
    <t xml:space="preserve">      Overflow Hotel Sourcing</t>
  </si>
  <si>
    <t xml:space="preserve">      Vendors</t>
  </si>
  <si>
    <t xml:space="preserve">5 hrs per vendor sourced</t>
  </si>
  <si>
    <t xml:space="preserve">      Photographer / Videographer</t>
  </si>
  <si>
    <t xml:space="preserve">      Temporary Staff</t>
  </si>
  <si>
    <t xml:space="preserve">      Volunteers</t>
  </si>
  <si>
    <t xml:space="preserve">      VIPs</t>
  </si>
  <si>
    <t xml:space="preserve">12 x scale index</t>
  </si>
  <si>
    <t xml:space="preserve">      Press Logistics</t>
  </si>
  <si>
    <t xml:space="preserve">      Sponsorship Opportunities</t>
  </si>
  <si>
    <t xml:space="preserve">      Sponsor Management</t>
  </si>
  <si>
    <t xml:space="preserve">1 hr per sponsor</t>
  </si>
  <si>
    <t xml:space="preserve">      Speaker Prep</t>
  </si>
  <si>
    <t xml:space="preserve">0.7 hrs per speaker</t>
  </si>
  <si>
    <t xml:space="preserve">      Speaker Management Onsite</t>
  </si>
  <si>
    <t xml:space="preserve">0.3 hrs per speaker</t>
  </si>
  <si>
    <t xml:space="preserve">      Audio Visual</t>
  </si>
  <si>
    <t xml:space="preserve">      Stage Production</t>
  </si>
  <si>
    <t xml:space="preserve">15 x scale index</t>
  </si>
  <si>
    <t xml:space="preserve">      Entertainment &amp; Talent</t>
  </si>
  <si>
    <t xml:space="preserve">      Recording &amp; Broadcast — Pre-Event Coordination</t>
  </si>
  <si>
    <t xml:space="preserve">      Recording &amp; Broadcast — Onsite Support</t>
  </si>
  <si>
    <t xml:space="preserve">      Concept &amp; Strategy</t>
  </si>
  <si>
    <t xml:space="preserve">      Venue &amp; Layout</t>
  </si>
  <si>
    <t xml:space="preserve">      Food &amp; Beverage</t>
  </si>
  <si>
    <t xml:space="preserve">      Entertainment &amp; Atmosphere</t>
  </si>
  <si>
    <t xml:space="preserve">      Guest Experience</t>
  </si>
  <si>
    <t xml:space="preserve">      Staffing &amp; Logistics</t>
  </si>
  <si>
    <t xml:space="preserve">      Capture &amp; Follow-Up</t>
  </si>
  <si>
    <t xml:space="preserve">2 x scale index</t>
  </si>
  <si>
    <t xml:space="preserve">      Budgets, Reporting &amp; Billing</t>
  </si>
  <si>
    <t xml:space="preserve">      Strategy &amp; Timeline</t>
  </si>
  <si>
    <t xml:space="preserve">      Social Media &amp; Email Campaigns</t>
  </si>
  <si>
    <t xml:space="preserve">9 x scale index</t>
  </si>
  <si>
    <t xml:space="preserve">      Messaging</t>
  </si>
  <si>
    <t xml:space="preserve">      Marketing Assistance</t>
  </si>
  <si>
    <t xml:space="preserve">      Exhibitor Planning &amp; Onsite Execution</t>
  </si>
  <si>
    <t xml:space="preserve">1 hr per exhibitor</t>
  </si>
  <si>
    <t xml:space="preserve">      Debrief, Reporting &amp; Recommendations</t>
  </si>
  <si>
    <t xml:space="preserve">      Venue Booking &amp; Coordination</t>
  </si>
  <si>
    <t xml:space="preserve">      Registration &amp; Communications</t>
  </si>
  <si>
    <t xml:space="preserve">      Check-In &amp; Onsite Management</t>
  </si>
  <si>
    <t xml:space="preserve">TOTAL — INCLUDED SCOPE</t>
  </si>
  <si>
    <t xml:space="preserve">HOW TO BUILD A NEW CONFERENCE P&amp;L</t>
  </si>
  <si>
    <t xml:space="preserve">STEP 1 — INPUTS</t>
  </si>
  <si>
    <t xml:space="preserve">•  Event size: attendees, exhibitors, sponsors, speakers, vendors to source, site visits.</t>
  </si>
  <si>
    <t xml:space="preserve">•  Schedule: event days, set-up days, travel days, months of pre-planning.</t>
  </si>
  <si>
    <t xml:space="preserve">•  Staffing: how many managers and coordinators onsite, and how many in pre-planning.</t>
  </si>
  <si>
    <t xml:space="preserve">•  Rates are pre-set — manager $60/hr cost, coordinator $42/hr cost. Change only if the rate card changes.</t>
  </si>
  <si>
    <t xml:space="preserve">STEP 2 — SCOPE</t>
  </si>
  <si>
    <t xml:space="preserve">•  Every line matches the Master Proposal Template, sub-item by sub-item. Set INCLUDE? to Yes or No on each.</t>
  </si>
  <si>
    <t xml:space="preserve">•  Hours calculate automatically. Disagree with a line? Type your number into OVERRIDE HOURS — nothing else changes.</t>
  </si>
  <si>
    <t xml:space="preserve">STEP 3 — P&amp;L</t>
  </si>
  <si>
    <t xml:space="preserve">•  Nothing to type. Scope rolls up to the top-level proposal headings, so the P&amp;L reads the same way the proposal does.</t>
  </si>
  <si>
    <t xml:space="preserve">•  Watch HRS / PERSON / WEEK — above roughly 10 the headcount is too thin for the scope.</t>
  </si>
  <si>
    <t xml:space="preserve">THE EVENT SCALE INDEX</t>
  </si>
  <si>
    <t xml:space="preserve">•  Most scope lines are priced as a base weight multiplied by the Event Scale Index, shown on INPUTS. The index is:</t>
  </si>
  <si>
    <t xml:space="preserve">•          (attendees / 250) ^ 1/3   x   (planning months / 6) ^ 1/2   x   (event days / 3) ^ 1/4</t>
  </si>
  <si>
    <t xml:space="preserve">•  An index of 1.00 is a 250-person, 3-day event with 6 months of planning. The cube and square roots matter: doubling attendance raises the index about 26%, not 100%, which is how our hours have actually behaved. Straight percentage-of-attendees rules break down badly at 1,000+ people.</t>
  </si>
  <si>
    <t xml:space="preserve">•  Lines with a real count behind them skip the index and bill directly: exhibitors x 1 hr, sponsors x 1 hr, speakers x 1 hr, vendors x 5 hrs, site visits x 10 hrs. Weekly items — meetings, the project management system, approvals — bill 1 hour per planning week.</t>
  </si>
  <si>
    <t xml:space="preserve">HOW THE MONEY WORKS</t>
  </si>
  <si>
    <t xml:space="preserve">•  CLIENT COST = hours x client rate. Pre-planning: manager $90 / coordinator $65. Onsite: manager $100 / coordinator $65. Coordinator overtime bills at 1.5x.</t>
  </si>
  <si>
    <t xml:space="preserve">•  OUR COST = hours x our rate. Manager $60, coordinator $42, overtime 1.5x.</t>
  </si>
  <si>
    <t xml:space="preserve">•  STAFF OVERHEAD = $0.61 x every CTC staff hour, pre-planning and onsite. A cost to us, not billed, so it reduces margin.</t>
  </si>
  <si>
    <t xml:space="preserve">•  ADMIN FEE = 2% of the client subtotal, added to what the client pays. Nothing costs against it, so all of it is profit.</t>
  </si>
  <si>
    <t xml:space="preserve">•  MULTI-YEAR DISCOUNT = the 5% off additional years. Off by default — switch it on at the bottom of INPUTS section 7.</t>
  </si>
  <si>
    <t xml:space="preserve">THE TRUE COST VIEW  —  read this before trusting a margin</t>
  </si>
  <si>
    <t xml:space="preserve">•  The % Profit column is a GROSS margin on direct labour. It counts salary and burden. It does not count the part of the year staff are paid but not billable, and it does not count real overhead. Those are the two inputs at the bottom of INPUTS section 7.</t>
  </si>
  <si>
    <t xml:space="preserve">•  UTILIZATION % = billable hours divided by paid hours. At 100% the true cost view matches the quoted cost exactly, so the workbook behaves as before until you change it. Agencies plan around 75-85%. Measure it from timesheets against payroll before you trust any number here.</t>
  </si>
  <si>
    <t xml:space="preserve">•  OVERHEAD % OF DIRECT LABOR = rent, software, insurance, non-billable salaries and business development as a share of staff cost. Typical agency range is 15-30%. This supersedes the $0.61/hr line, which is around 1% of a manager hour.</t>
  </si>
  <si>
    <t xml:space="preserve">•  TRUE NET MARGIN on the P&amp;L is what is left after both. At 80% utilization and 15% overhead a P&amp;L quoting 36% returns about 8%. CLIENT PRICE FOR TARGET MARGIN tells you what to charge instead.</t>
  </si>
</sst>
</file>

<file path=xl/styles.xml><?xml version="1.0" encoding="utf-8"?>
<styleSheet xmlns="http://schemas.openxmlformats.org/spreadsheetml/2006/main">
  <numFmts count="10">
    <numFmt numFmtId="164" formatCode="General"/>
    <numFmt numFmtId="165" formatCode="\$#,##0;&quot;($&quot;#,##0\);\-"/>
    <numFmt numFmtId="166" formatCode="0.0%;\(0.0%\);\-"/>
    <numFmt numFmtId="167" formatCode="#,##0;\(#,##0\);\-"/>
    <numFmt numFmtId="168" formatCode="\$#,##0.00;&quot;($&quot;#,##0.00\);\-"/>
    <numFmt numFmtId="169" formatCode="#,##0.0;;\-"/>
    <numFmt numFmtId="170" formatCode="0.00"/>
    <numFmt numFmtId="171" formatCode="0.00\x"/>
    <numFmt numFmtId="172" formatCode="0.0%"/>
    <numFmt numFmtId="173" formatCode="0"/>
  </numFmts>
  <fonts count="17">
    <font>
      <sz val="11"/>
      <color theme="1"/>
      <name val="Calibri"/>
      <family val="2"/>
      <charset val="1"/>
    </font>
    <font>
      <sz val="10"/>
      <name val="Arial"/>
      <family val="0"/>
    </font>
    <font>
      <sz val="10"/>
      <name val="Arial"/>
      <family val="0"/>
    </font>
    <font>
      <sz val="10"/>
      <name val="Arial"/>
      <family val="0"/>
    </font>
    <font>
      <b val="true"/>
      <sz val="14"/>
      <color rgb="FFFFFF00"/>
      <name val="Poppins"/>
      <family val="0"/>
      <charset val="1"/>
    </font>
    <font>
      <i val="true"/>
      <sz val="10"/>
      <color rgb="FF595959"/>
      <name val="Barlow"/>
      <family val="0"/>
      <charset val="1"/>
    </font>
    <font>
      <b val="true"/>
      <sz val="12"/>
      <color rgb="FFFFFFFF"/>
      <name val="Poppins"/>
      <family val="0"/>
      <charset val="1"/>
    </font>
    <font>
      <b val="true"/>
      <sz val="12"/>
      <name val="Poppins"/>
      <family val="0"/>
      <charset val="1"/>
    </font>
    <font>
      <sz val="10"/>
      <name val="Barlow"/>
      <family val="0"/>
      <charset val="1"/>
    </font>
    <font>
      <b val="true"/>
      <sz val="12"/>
      <name val="Barlow"/>
      <family val="0"/>
      <charset val="1"/>
    </font>
    <font>
      <b val="true"/>
      <sz val="10"/>
      <name val="Poppins"/>
      <family val="0"/>
      <charset val="1"/>
    </font>
    <font>
      <b val="true"/>
      <sz val="10"/>
      <name val="Barlow"/>
      <family val="0"/>
      <charset val="1"/>
    </font>
    <font>
      <i val="true"/>
      <sz val="9"/>
      <color rgb="FF7F7F7F"/>
      <name val="Barlow"/>
      <family val="0"/>
      <charset val="1"/>
    </font>
    <font>
      <b val="true"/>
      <sz val="10"/>
      <color rgb="FFC00000"/>
      <name val="Barlow"/>
      <family val="0"/>
      <charset val="1"/>
    </font>
    <font>
      <b val="true"/>
      <sz val="10"/>
      <color rgb="FF0000FF"/>
      <name val="Barlow"/>
      <family val="0"/>
      <charset val="1"/>
    </font>
    <font>
      <b val="true"/>
      <sz val="10"/>
      <color rgb="FF1F1F1F"/>
      <name val="Poppins"/>
      <family val="0"/>
      <charset val="1"/>
    </font>
    <font>
      <b val="true"/>
      <sz val="10"/>
      <color rgb="FF595959"/>
      <name val="Barlow"/>
      <family val="0"/>
      <charset val="1"/>
    </font>
  </fonts>
  <fills count="8">
    <fill>
      <patternFill patternType="none"/>
    </fill>
    <fill>
      <patternFill patternType="gray125"/>
    </fill>
    <fill>
      <patternFill patternType="solid">
        <fgColor rgb="FF9C1E83"/>
        <bgColor rgb="FF993366"/>
      </patternFill>
    </fill>
    <fill>
      <patternFill patternType="solid">
        <fgColor rgb="FF6D9EEB"/>
        <bgColor rgb="FF99CCFF"/>
      </patternFill>
    </fill>
    <fill>
      <patternFill patternType="solid">
        <fgColor rgb="FFEAD1DC"/>
        <bgColor rgb="FFD9D9D9"/>
      </patternFill>
    </fill>
    <fill>
      <patternFill patternType="solid">
        <fgColor rgb="FFFFF2CC"/>
        <bgColor rgb="FFF2F2F2"/>
      </patternFill>
    </fill>
    <fill>
      <patternFill patternType="solid">
        <fgColor rgb="FFF2F2F2"/>
        <bgColor rgb="FFFFFFFF"/>
      </patternFill>
    </fill>
    <fill>
      <patternFill patternType="solid">
        <fgColor rgb="FFD9D9D9"/>
        <bgColor rgb="FFEAD1DC"/>
      </patternFill>
    </fill>
  </fills>
  <borders count="5">
    <border diagonalUp="false" diagonalDown="false">
      <left/>
      <right/>
      <top/>
      <bottom/>
      <diagonal/>
    </border>
    <border diagonalUp="false" diagonalDown="false">
      <left/>
      <right/>
      <top/>
      <bottom style="medium">
        <color rgb="FF404040"/>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404040"/>
      </top>
      <bottom style="double">
        <color rgb="FF404040"/>
      </bottom>
      <diagonal/>
    </border>
    <border diagonalUp="false" diagonalDown="false">
      <left/>
      <right/>
      <top style="medium">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4" fontId="9" fillId="4" borderId="2" xfId="0" applyFont="true" applyBorder="true" applyAlignment="false" applyProtection="false">
      <alignment horizontal="general" vertical="bottom" textRotation="0" wrapText="false" indent="0" shrinkToFit="false"/>
      <protection locked="true" hidden="false"/>
    </xf>
    <xf numFmtId="165" fontId="9" fillId="4" borderId="2" xfId="0" applyFont="true" applyBorder="true" applyAlignment="false" applyProtection="false">
      <alignment horizontal="general" vertical="bottom" textRotation="0" wrapText="false" indent="0" shrinkToFit="false"/>
      <protection locked="true" hidden="false"/>
    </xf>
    <xf numFmtId="166" fontId="9" fillId="4" borderId="2" xfId="0" applyFont="true" applyBorder="true" applyAlignment="false" applyProtection="false">
      <alignment horizontal="general" vertical="bottom" textRotation="0" wrapText="false" indent="0" shrinkToFit="false"/>
      <protection locked="true" hidden="false"/>
    </xf>
    <xf numFmtId="164" fontId="9" fillId="4" borderId="3" xfId="0" applyFont="true" applyBorder="true" applyAlignment="false" applyProtection="false">
      <alignment horizontal="general" vertical="bottom" textRotation="0" wrapText="false" indent="0" shrinkToFit="false"/>
      <protection locked="true" hidden="false"/>
    </xf>
    <xf numFmtId="165" fontId="9" fillId="4" borderId="3" xfId="0" applyFont="true" applyBorder="true" applyAlignment="false" applyProtection="false">
      <alignment horizontal="general" vertical="bottom" textRotation="0" wrapText="false" indent="0" shrinkToFit="false"/>
      <protection locked="true" hidden="false"/>
    </xf>
    <xf numFmtId="166" fontId="9" fillId="4" borderId="3"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true" indent="0" shrinkToFit="false"/>
      <protection locked="true" hidden="false"/>
    </xf>
    <xf numFmtId="167" fontId="8" fillId="0" borderId="2" xfId="0" applyFont="true" applyBorder="true" applyAlignment="false" applyProtection="false">
      <alignment horizontal="general" vertical="bottom" textRotation="0" wrapText="false" indent="0" shrinkToFit="false"/>
      <protection locked="true" hidden="false"/>
    </xf>
    <xf numFmtId="168" fontId="8" fillId="0" borderId="2" xfId="0" applyFont="true" applyBorder="true" applyAlignment="false" applyProtection="false">
      <alignment horizontal="general" vertical="bottom" textRotation="0" wrapText="false" indent="0" shrinkToFit="false"/>
      <protection locked="true" hidden="false"/>
    </xf>
    <xf numFmtId="169" fontId="8" fillId="0" borderId="2" xfId="0" applyFont="true" applyBorder="true" applyAlignment="false" applyProtection="false">
      <alignment horizontal="general" vertical="bottom" textRotation="0" wrapText="fals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6" fontId="11" fillId="4" borderId="2" xfId="0" applyFont="true" applyBorder="true" applyAlignment="false" applyProtection="false">
      <alignment horizontal="general" vertical="bottom" textRotation="0" wrapText="false" indent="0" shrinkToFit="false"/>
      <protection locked="true" hidden="false"/>
    </xf>
    <xf numFmtId="164" fontId="11" fillId="4" borderId="3" xfId="0" applyFont="true" applyBorder="true" applyAlignment="false" applyProtection="false">
      <alignment horizontal="general" vertical="bottom" textRotation="0" wrapText="false" indent="0" shrinkToFit="false"/>
      <protection locked="true" hidden="false"/>
    </xf>
    <xf numFmtId="167" fontId="11" fillId="4" borderId="3" xfId="0" applyFont="true" applyBorder="true" applyAlignment="false" applyProtection="false">
      <alignment horizontal="general" vertical="bottom" textRotation="0" wrapText="false" indent="0" shrinkToFit="false"/>
      <protection locked="true" hidden="false"/>
    </xf>
    <xf numFmtId="168" fontId="11" fillId="4" borderId="3" xfId="0" applyFont="true" applyBorder="true" applyAlignment="false" applyProtection="false">
      <alignment horizontal="general" vertical="bottom" textRotation="0" wrapText="false" indent="0" shrinkToFit="false"/>
      <protection locked="true" hidden="false"/>
    </xf>
    <xf numFmtId="165" fontId="11" fillId="4" borderId="3" xfId="0" applyFont="true" applyBorder="true" applyAlignment="false" applyProtection="false">
      <alignment horizontal="general" vertical="bottom" textRotation="0" wrapText="false" indent="0" shrinkToFit="false"/>
      <protection locked="true" hidden="false"/>
    </xf>
    <xf numFmtId="169" fontId="11" fillId="4" borderId="3"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2" xfId="0" applyFont="true" applyBorder="true" applyAlignment="true" applyProtection="false">
      <alignment horizontal="general" vertical="center" textRotation="0" wrapText="true" indent="0" shrinkToFit="false"/>
      <protection locked="true" hidden="false"/>
    </xf>
    <xf numFmtId="168" fontId="8" fillId="0" borderId="2" xfId="0" applyFont="true" applyBorder="true" applyAlignment="true" applyProtection="false">
      <alignment horizontal="general" vertical="center" textRotation="0" wrapText="false" indent="0" shrinkToFit="false"/>
      <protection locked="true" hidden="false"/>
    </xf>
    <xf numFmtId="167" fontId="8" fillId="0" borderId="2" xfId="0" applyFont="true" applyBorder="true" applyAlignment="true" applyProtection="false">
      <alignment horizontal="general" vertical="center" textRotation="0" wrapText="false" indent="0" shrinkToFit="false"/>
      <protection locked="true" hidden="false"/>
    </xf>
    <xf numFmtId="165" fontId="8" fillId="0" borderId="2" xfId="0" applyFont="true" applyBorder="true" applyAlignment="true" applyProtection="false">
      <alignment horizontal="general" vertical="center" textRotation="0" wrapText="false" indent="0" shrinkToFit="false"/>
      <protection locked="true" hidden="false"/>
    </xf>
    <xf numFmtId="166" fontId="8" fillId="0" borderId="2" xfId="0" applyFont="true" applyBorder="true" applyAlignment="true" applyProtection="false">
      <alignment horizontal="general" vertical="center" textRotation="0" wrapText="false" indent="0" shrinkToFit="false"/>
      <protection locked="true" hidden="false"/>
    </xf>
    <xf numFmtId="164" fontId="11" fillId="4" borderId="3" xfId="0" applyFont="true" applyBorder="true" applyAlignment="true" applyProtection="false">
      <alignment horizontal="center" vertical="center" textRotation="0" wrapText="false" indent="0" shrinkToFit="false"/>
      <protection locked="true" hidden="false"/>
    </xf>
    <xf numFmtId="164" fontId="11" fillId="4" borderId="3" xfId="0" applyFont="true" applyBorder="true" applyAlignment="true" applyProtection="false">
      <alignment horizontal="general" vertical="center" textRotation="0" wrapText="true" indent="0" shrinkToFit="false"/>
      <protection locked="true" hidden="false"/>
    </xf>
    <xf numFmtId="168" fontId="11" fillId="4" borderId="3" xfId="0" applyFont="true" applyBorder="true" applyAlignment="true" applyProtection="false">
      <alignment horizontal="general" vertical="center" textRotation="0" wrapText="false" indent="0" shrinkToFit="false"/>
      <protection locked="true" hidden="false"/>
    </xf>
    <xf numFmtId="167" fontId="11" fillId="4" borderId="3" xfId="0" applyFont="true" applyBorder="true" applyAlignment="true" applyProtection="false">
      <alignment horizontal="general" vertical="center" textRotation="0" wrapText="false" indent="0" shrinkToFit="false"/>
      <protection locked="true" hidden="false"/>
    </xf>
    <xf numFmtId="165" fontId="11" fillId="4" borderId="3" xfId="0" applyFont="true" applyBorder="true" applyAlignment="true" applyProtection="false">
      <alignment horizontal="general" vertical="center" textRotation="0" wrapText="false" indent="0" shrinkToFit="false"/>
      <protection locked="true" hidden="false"/>
    </xf>
    <xf numFmtId="166" fontId="11" fillId="4" borderId="3" xfId="0" applyFont="true" applyBorder="true" applyAlignment="true" applyProtection="false">
      <alignment horizontal="general"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4" fillId="5" borderId="2" xfId="0" applyFont="true" applyBorder="true" applyAlignment="false" applyProtection="false">
      <alignment horizontal="general" vertical="bottom" textRotation="0" wrapText="false" indent="0" shrinkToFit="false"/>
      <protection locked="true" hidden="false"/>
    </xf>
    <xf numFmtId="167" fontId="14" fillId="5"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11" fillId="6" borderId="2" xfId="0" applyFont="true" applyBorder="true" applyAlignment="false" applyProtection="false">
      <alignment horizontal="general" vertical="bottom" textRotation="0" wrapText="false" indent="0" shrinkToFit="false"/>
      <protection locked="true" hidden="false"/>
    </xf>
    <xf numFmtId="170" fontId="11" fillId="6" borderId="2" xfId="0" applyFont="true" applyBorder="true" applyAlignment="false" applyProtection="false">
      <alignment horizontal="general" vertical="bottom" textRotation="0" wrapText="false" indent="0" shrinkToFit="false"/>
      <protection locked="true" hidden="false"/>
    </xf>
    <xf numFmtId="168" fontId="14" fillId="5" borderId="2" xfId="0" applyFont="true" applyBorder="true" applyAlignment="false" applyProtection="false">
      <alignment horizontal="general" vertical="bottom" textRotation="0" wrapText="false" indent="0" shrinkToFit="false"/>
      <protection locked="true" hidden="false"/>
    </xf>
    <xf numFmtId="171" fontId="14" fillId="5" borderId="2" xfId="0" applyFont="true" applyBorder="true" applyAlignment="false" applyProtection="false">
      <alignment horizontal="general" vertical="bottom" textRotation="0" wrapText="false" indent="0" shrinkToFit="false"/>
      <protection locked="true" hidden="false"/>
    </xf>
    <xf numFmtId="172" fontId="14" fillId="5" borderId="2"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bottom" textRotation="0" wrapText="true" indent="0" shrinkToFit="false"/>
      <protection locked="true" hidden="false"/>
    </xf>
    <xf numFmtId="164" fontId="15" fillId="7" borderId="4" xfId="0" applyFont="true" applyBorder="true" applyAlignment="false" applyProtection="false">
      <alignment horizontal="general" vertical="bottom" textRotation="0" wrapText="false" indent="0" shrinkToFit="false"/>
      <protection locked="true" hidden="false"/>
    </xf>
    <xf numFmtId="173" fontId="8" fillId="0"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true" applyProtection="false">
      <alignment horizontal="center" vertical="bottom" textRotation="0" wrapText="false" indent="0" shrinkToFit="false"/>
      <protection locked="true" hidden="false"/>
    </xf>
    <xf numFmtId="164" fontId="14" fillId="5" borderId="2"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FFFFFF"/>
      </font>
      <fill>
        <patternFill>
          <bgColor rgb="FFFFFFFF"/>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6D9EEB"/>
      <rgbColor rgb="FF9C1E83"/>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AD1DC"/>
      <rgbColor rgb="FF3366FF"/>
      <rgbColor rgb="FF33CCCC"/>
      <rgbColor rgb="FF99CC00"/>
      <rgbColor rgb="FFFFCC00"/>
      <rgbColor rgb="FFFF9900"/>
      <rgbColor rgb="FFFF6600"/>
      <rgbColor rgb="FF595959"/>
      <rgbColor rgb="FF7F7F7F"/>
      <rgbColor rgb="FF003366"/>
      <rgbColor rgb="FF339966"/>
      <rgbColor rgb="FF003300"/>
      <rgbColor rgb="FF1F1F1F"/>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2" min="2" style="0" width="49.1"/>
    <col collapsed="false" customWidth="true" hidden="false" outlineLevel="0" max="3" min="3" style="0" width="14.4"/>
    <col collapsed="false" customWidth="true" hidden="false" outlineLevel="0" max="4" min="4" style="0" width="12"/>
    <col collapsed="false" customWidth="true" hidden="false" outlineLevel="0" max="5" min="5" style="0" width="15.4"/>
    <col collapsed="false" customWidth="true" hidden="false" outlineLevel="0" max="6" min="6" style="0" width="13"/>
    <col collapsed="false" customWidth="true" hidden="false" outlineLevel="0" max="7" min="7" style="0" width="12"/>
    <col collapsed="false" customWidth="true" hidden="false" outlineLevel="0" max="8" min="8" style="0" width="15.4"/>
    <col collapsed="false" customWidth="true" hidden="false" outlineLevel="0" max="9" min="9" style="0" width="13.2"/>
    <col collapsed="false" customWidth="true" hidden="false" outlineLevel="0" max="10" min="10" style="0" width="9.9"/>
  </cols>
  <sheetData>
    <row r="1" customFormat="false" ht="24" hidden="false" customHeight="true" outlineLevel="0" collapsed="false">
      <c r="B1" s="1" t="str">
        <f aca="false">INPUTS!C5</f>
        <v>New Conference 2027</v>
      </c>
      <c r="C1" s="1"/>
      <c r="D1" s="1"/>
      <c r="E1" s="1"/>
      <c r="F1" s="1"/>
      <c r="G1" s="1"/>
      <c r="H1" s="1"/>
      <c r="I1" s="1"/>
      <c r="J1" s="1"/>
    </row>
    <row r="2" customFormat="false" ht="15" hidden="false" customHeight="false" outlineLevel="0" collapsed="false">
      <c r="B2" s="2" t="str">
        <f aca="false">INPUTS!C6&amp;"   |   "&amp;INPUTS!C7&amp;"   |   "&amp;TEXT(INPUTS!C18,"0")&amp;" event days + "&amp;TEXT(INPUTS!C19,"0")&amp;" set-up   |   "&amp;TEXT(INPUTS!C22,"0")&amp;" months planning"</f>
        <v>April 6-8, 2027   |   Los Angeles, CA   |   3 event days + 1 set-up   |   9 months planning</v>
      </c>
    </row>
    <row r="4" customFormat="false" ht="19.5" hidden="false" customHeight="true" outlineLevel="0" collapsed="false">
      <c r="B4" s="3" t="s">
        <v>0</v>
      </c>
      <c r="C4" s="3"/>
      <c r="D4" s="3"/>
      <c r="E4" s="3"/>
      <c r="F4" s="3"/>
    </row>
    <row r="5" customFormat="false" ht="15" hidden="false" customHeight="false" outlineLevel="0" collapsed="false">
      <c r="B5" s="4" t="s">
        <v>1</v>
      </c>
      <c r="C5" s="4" t="s">
        <v>2</v>
      </c>
      <c r="D5" s="4" t="s">
        <v>3</v>
      </c>
      <c r="E5" s="4" t="s">
        <v>4</v>
      </c>
      <c r="F5" s="4" t="s">
        <v>5</v>
      </c>
    </row>
    <row r="6" customFormat="false" ht="15" hidden="false" customHeight="false" outlineLevel="0" collapsed="false">
      <c r="B6" s="5" t="str">
        <f aca="false">"Project Hours  ("&amp;TEXT(D43,"#,##0")&amp;")"</f>
        <v>Project Hours  (568)</v>
      </c>
      <c r="C6" s="6" t="n">
        <f aca="false">E43</f>
        <v>48830</v>
      </c>
      <c r="D6" s="6" t="n">
        <f aca="false">H43</f>
        <v>32244</v>
      </c>
      <c r="E6" s="6" t="n">
        <f aca="false">C6-D6</f>
        <v>16586</v>
      </c>
      <c r="F6" s="7" t="n">
        <f aca="false">IF(C6=0,"",E6/C6)</f>
        <v>0.339668236739709</v>
      </c>
    </row>
    <row r="7" customFormat="false" ht="15" hidden="false" customHeight="false" outlineLevel="0" collapsed="false">
      <c r="B7" s="5" t="str">
        <f aca="false">"Onsite Management  ("&amp;TEXT(D64,"#,##0")&amp;")"</f>
        <v>Onsite Management  (224)</v>
      </c>
      <c r="C7" s="6" t="n">
        <f aca="false">E64</f>
        <v>20120</v>
      </c>
      <c r="D7" s="6" t="n">
        <f aca="false">H64</f>
        <v>12336</v>
      </c>
      <c r="E7" s="6" t="n">
        <f aca="false">C7-D7</f>
        <v>7784</v>
      </c>
      <c r="F7" s="7" t="n">
        <f aca="false">IF(C7=0,"",E7/C7)</f>
        <v>0.386878727634195</v>
      </c>
    </row>
    <row r="8" customFormat="false" ht="15" hidden="false" customHeight="false" outlineLevel="0" collapsed="false">
      <c r="B8" s="5" t="str">
        <f aca="false">"Staff Overhead  ("&amp;TEXT(INPUTS!$C$48,"$0.00")&amp;" / staff hour)"</f>
        <v>Staff Overhead  ($0.61 / staff hour)</v>
      </c>
      <c r="C8" s="6" t="n">
        <v>0</v>
      </c>
      <c r="D8" s="6" t="n">
        <f aca="false">E71</f>
        <v>483.12</v>
      </c>
      <c r="E8" s="6" t="n">
        <f aca="false">C8-D8</f>
        <v>-483.12</v>
      </c>
      <c r="F8" s="7" t="str">
        <f aca="false">IF(C8=0,"",E8/C8)</f>
        <v/>
      </c>
    </row>
    <row r="9" customFormat="false" ht="15" hidden="false" customHeight="false" outlineLevel="0" collapsed="false">
      <c r="B9" s="8" t="s">
        <v>6</v>
      </c>
      <c r="C9" s="9" t="n">
        <f aca="false">SUM(C6:C8)</f>
        <v>68950</v>
      </c>
      <c r="D9" s="9" t="n">
        <f aca="false">SUM(D6:D8)</f>
        <v>45063.12</v>
      </c>
      <c r="E9" s="9" t="n">
        <f aca="false">SUM(E6:E8)</f>
        <v>23886.88</v>
      </c>
      <c r="F9" s="10" t="n">
        <f aca="false">IF(C9=0,"",E9/C9)</f>
        <v>0.346437708484409</v>
      </c>
    </row>
    <row r="10" customFormat="false" ht="15" hidden="false" customHeight="false" outlineLevel="0" collapsed="false">
      <c r="B10" s="5" t="str">
        <f aca="false">"Admin Fee  ("&amp;TEXT(INPUTS!$C$49,"0.0%")&amp;")"</f>
        <v>Admin Fee  (2.0%)</v>
      </c>
      <c r="C10" s="6" t="n">
        <f aca="false">C9*INPUTS!$C$49</f>
        <v>1379</v>
      </c>
      <c r="D10" s="6" t="n">
        <v>0</v>
      </c>
      <c r="E10" s="6" t="n">
        <f aca="false">C10-D10</f>
        <v>1379</v>
      </c>
      <c r="F10" s="7"/>
    </row>
    <row r="11" customFormat="false" ht="15" hidden="false" customHeight="false" outlineLevel="0" collapsed="false">
      <c r="B11" s="5" t="str">
        <f aca="false">"Less Multi-Year Discount  ("&amp;TEXT(INPUTS!$C$50,"0.0%")&amp;")"</f>
        <v>Less Multi-Year Discount  (5.0%)</v>
      </c>
      <c r="C11" s="6" t="n">
        <f aca="false">-IF(INPUTS!$C$51="Yes",(C9+C10)*INPUTS!$C$50,0)</f>
        <v>-0</v>
      </c>
      <c r="D11" s="6" t="n">
        <v>0</v>
      </c>
      <c r="E11" s="6" t="n">
        <f aca="false">C11-D11</f>
        <v>-0</v>
      </c>
      <c r="F11" s="7"/>
    </row>
    <row r="12" customFormat="false" ht="15" hidden="false" customHeight="false" outlineLevel="0" collapsed="false">
      <c r="B12" s="11" t="s">
        <v>7</v>
      </c>
      <c r="C12" s="12" t="n">
        <f aca="false">SUM(C9:C11)</f>
        <v>70329</v>
      </c>
      <c r="D12" s="12" t="n">
        <f aca="false">SUM(D9:D11)</f>
        <v>45063.12</v>
      </c>
      <c r="E12" s="12" t="n">
        <f aca="false">SUM(E9:E11)</f>
        <v>25265.88</v>
      </c>
      <c r="F12" s="13" t="n">
        <f aca="false">IF(C12=0,"",E12/C12)</f>
        <v>0.359252655376872</v>
      </c>
    </row>
    <row r="14" customFormat="false" ht="19.5" hidden="false" customHeight="true" outlineLevel="0" collapsed="false">
      <c r="B14" s="3" t="s">
        <v>8</v>
      </c>
      <c r="C14" s="3"/>
      <c r="D14" s="3"/>
      <c r="E14" s="3"/>
      <c r="F14" s="3"/>
      <c r="G14" s="3"/>
      <c r="H14" s="3" t="s">
        <v>9</v>
      </c>
      <c r="I14" s="3"/>
      <c r="J14" s="3"/>
    </row>
    <row r="15" customFormat="false" ht="27.75" hidden="false" customHeight="true" outlineLevel="0" collapsed="false">
      <c r="B15" s="14" t="s">
        <v>10</v>
      </c>
      <c r="C15" s="14" t="s">
        <v>11</v>
      </c>
      <c r="D15" s="14" t="s">
        <v>12</v>
      </c>
      <c r="E15" s="14" t="s">
        <v>3</v>
      </c>
      <c r="F15" s="14" t="s">
        <v>13</v>
      </c>
      <c r="G15" s="14" t="s">
        <v>14</v>
      </c>
      <c r="H15" s="14"/>
      <c r="I15" s="14"/>
      <c r="J15" s="14"/>
    </row>
    <row r="16" customFormat="false" ht="15" hidden="false" customHeight="false" outlineLevel="0" collapsed="false">
      <c r="B16" s="5" t="s">
        <v>15</v>
      </c>
      <c r="C16" s="15" t="n">
        <f aca="false">SUMIFS(SCOPE!$H$4:$H$76,SCOPE!$C$4:$C$76,"Manager",SCOPE!$D$4:$D$76,"Yes")</f>
        <v>289</v>
      </c>
      <c r="D16" s="16" t="n">
        <f aca="false">IF(C16=0,"",E16/C16)</f>
        <v>60</v>
      </c>
      <c r="E16" s="6" t="n">
        <f aca="false">SUMIFS(SCOPE!$L$4:$L$76,SCOPE!$C$4:$C$76,"Manager",SCOPE!$D$4:$D$76,"Yes")</f>
        <v>17340</v>
      </c>
      <c r="F16" s="15" t="n">
        <f aca="false">INPUTS!$C$29</f>
        <v>1</v>
      </c>
      <c r="G16" s="17" t="n">
        <f aca="false">IF(OR(F16=0,INPUTS!$C$23=0),"",C16/F16/INPUTS!$C$23)</f>
        <v>7.41025641025641</v>
      </c>
      <c r="H16" s="5" t="s">
        <v>16</v>
      </c>
      <c r="I16" s="5"/>
      <c r="J16" s="6" t="n">
        <f aca="false">(D6+D7)/INPUTS!$C$53*(1+INPUTS!$C$54)+D8</f>
        <v>45063.12</v>
      </c>
    </row>
    <row r="17" customFormat="false" ht="15" hidden="false" customHeight="false" outlineLevel="0" collapsed="false">
      <c r="B17" s="5" t="s">
        <v>17</v>
      </c>
      <c r="C17" s="15" t="n">
        <f aca="false">SUMIFS(SCOPE!$H$4:$H$76,SCOPE!$C$4:$C$76,"Coordinator",SCOPE!$D$4:$D$76,"Yes")</f>
        <v>154</v>
      </c>
      <c r="D17" s="16" t="n">
        <f aca="false">IF(C17=0,"",E17/C17)</f>
        <v>42</v>
      </c>
      <c r="E17" s="6" t="n">
        <f aca="false">SUMIFS(SCOPE!$L$4:$L$76,SCOPE!$C$4:$C$76,"Coordinator",SCOPE!$D$4:$D$76,"Yes")</f>
        <v>6468</v>
      </c>
      <c r="F17" s="15" t="n">
        <f aca="false">INPUTS!$C$30</f>
        <v>1</v>
      </c>
      <c r="G17" s="17" t="n">
        <f aca="false">IF(OR(F17=0,INPUTS!$C$23=0),"",C17/F17/INPUTS!$C$23)</f>
        <v>3.94871794871795</v>
      </c>
      <c r="H17" s="5" t="s">
        <v>18</v>
      </c>
      <c r="I17" s="5"/>
      <c r="J17" s="6" t="n">
        <f aca="false">C12-((D6+D7)/INPUTS!$C$53*(1+INPUTS!$C$54)+D8)</f>
        <v>25265.88</v>
      </c>
    </row>
    <row r="18" customFormat="false" ht="15" hidden="false" customHeight="false" outlineLevel="0" collapsed="false">
      <c r="B18" s="5" t="s">
        <v>19</v>
      </c>
      <c r="C18" s="15" t="n">
        <f aca="false">SUMIFS(SCOPE!$H$4:$H$76,SCOPE!$C$4:$C$76,"Team",SCOPE!$D$4:$D$76,"Yes")</f>
        <v>125</v>
      </c>
      <c r="D18" s="16" t="n">
        <f aca="false">IF(C18=0,"",E18/C18)</f>
        <v>67.488</v>
      </c>
      <c r="E18" s="6" t="n">
        <f aca="false">SUMIFS(SCOPE!$L$4:$L$76,SCOPE!$C$4:$C$76,"Team",SCOPE!$D$4:$D$76,"Yes")</f>
        <v>8436</v>
      </c>
      <c r="F18" s="15" t="n">
        <f aca="false">INPUTS!$C$29+INPUTS!$C$30</f>
        <v>2</v>
      </c>
      <c r="G18" s="17" t="n">
        <f aca="false">IF(OR(F18=0,INPUTS!$C$23=0),"",C18/F18/INPUTS!$C$23)</f>
        <v>1.6025641025641</v>
      </c>
      <c r="H18" s="18" t="s">
        <v>20</v>
      </c>
      <c r="I18" s="18"/>
      <c r="J18" s="19" t="n">
        <f aca="false">IF(C12=0,"",(C12-((D6+D7)/INPUTS!$C$53*(1+INPUTS!$C$54)+D8))/C12)</f>
        <v>0.359252655376872</v>
      </c>
    </row>
    <row r="19" customFormat="false" ht="15" hidden="false" customHeight="false" outlineLevel="0" collapsed="false">
      <c r="B19" s="20" t="s">
        <v>21</v>
      </c>
      <c r="C19" s="21" t="n">
        <f aca="false">SUM(C16:C18)</f>
        <v>568</v>
      </c>
      <c r="D19" s="22" t="n">
        <f aca="false">IF(C19=0,"",E19/C19)</f>
        <v>56.7676056338028</v>
      </c>
      <c r="E19" s="23" t="n">
        <f aca="false">SUM(E16:E18)</f>
        <v>32244</v>
      </c>
      <c r="F19" s="21" t="n">
        <f aca="false">INPUTS!$C$29+INPUTS!$C$30</f>
        <v>2</v>
      </c>
      <c r="G19" s="24"/>
      <c r="H19" s="5" t="s">
        <v>22</v>
      </c>
      <c r="I19" s="5"/>
      <c r="J19" s="6" t="n">
        <f aca="false">IF(INPUTS!$C$52&gt;=1,"",((D6+D7)/INPUTS!$C$53*(1+INPUTS!$C$54)+D8)/(1-INPUTS!$C$52))</f>
        <v>75105.2</v>
      </c>
    </row>
    <row r="20" customFormat="false" ht="15" hidden="false" customHeight="false" outlineLevel="0" collapsed="false">
      <c r="B20" s="25" t="str">
        <f aca="false">"HRS / PERSON / WEEK above ~10 means the headcount is too thin for the scope.    TRUE COST assumes "&amp;TEXT(INPUTS!$C$53,"0%")&amp;" utilization and "&amp;TEXT(INPUTS!$C$54,"0%")&amp;" overhead — at 100% and 0% it equals the quoted cost above."</f>
        <v>HRS / PERSON / WEEK above ~10 means the headcount is too thin for the scope.    TRUE COST assumes 100% utilization and 0% overhead — at 100% and 0% it equals the quoted cost above.</v>
      </c>
    </row>
    <row r="21" customFormat="false" ht="19.5" hidden="false" customHeight="true" outlineLevel="0" collapsed="false">
      <c r="B21" s="3" t="s">
        <v>23</v>
      </c>
      <c r="C21" s="3"/>
      <c r="D21" s="3"/>
      <c r="E21" s="3"/>
      <c r="F21" s="3"/>
      <c r="G21" s="3"/>
      <c r="H21" s="3"/>
      <c r="I21" s="3"/>
      <c r="J21" s="3"/>
    </row>
    <row r="22" customFormat="false" ht="25.5" hidden="false" customHeight="true" outlineLevel="0" collapsed="false">
      <c r="B22" s="14" t="s">
        <v>24</v>
      </c>
      <c r="C22" s="14" t="s">
        <v>25</v>
      </c>
      <c r="D22" s="14" t="s">
        <v>11</v>
      </c>
      <c r="E22" s="14" t="s">
        <v>2</v>
      </c>
      <c r="F22" s="14" t="s">
        <v>26</v>
      </c>
      <c r="G22" s="14" t="s">
        <v>11</v>
      </c>
      <c r="H22" s="14" t="s">
        <v>3</v>
      </c>
      <c r="I22" s="14" t="s">
        <v>4</v>
      </c>
      <c r="J22" s="14" t="s">
        <v>5</v>
      </c>
    </row>
    <row r="23" customFormat="false" ht="15" hidden="false" customHeight="false" outlineLevel="0" collapsed="false">
      <c r="A23" s="26" t="str">
        <f aca="false">IFERROR(INDEX(SCOPE!$T$4:$T$23,MATCH(1,SCOPE!$S$4:$S$23,0)),"")</f>
        <v>PM/EC</v>
      </c>
      <c r="B23" s="27" t="str">
        <f aca="false">IFERROR(INDEX(SCOPE!$O$4:$O$23,MATCH(1,SCOPE!$S$4:$S$23,0)),"")</f>
        <v>PLANNING, TIMELINE &amp; COMMUNICATIONS</v>
      </c>
      <c r="C23" s="28" t="n">
        <f aca="false">IF(OR(B23="",D23=0),"",E23/D23)</f>
        <v>102.48</v>
      </c>
      <c r="D23" s="29" t="n">
        <f aca="false">IFERROR(INDEX(SCOPE!$P$4:$P$23,MATCH(1,SCOPE!$S$4:$S$23,0)),"")</f>
        <v>125</v>
      </c>
      <c r="E23" s="30" t="n">
        <f aca="false">IFERROR(INDEX(SCOPE!$Q$4:$Q$23,MATCH(1,SCOPE!$S$4:$S$23,0)),"")</f>
        <v>12810</v>
      </c>
      <c r="F23" s="28" t="n">
        <f aca="false">IF(OR(B23="",G23=0),"",H23/G23)</f>
        <v>67.488</v>
      </c>
      <c r="G23" s="29" t="n">
        <f aca="false">IF(B23="","",D23)</f>
        <v>125</v>
      </c>
      <c r="H23" s="30" t="n">
        <f aca="false">IFERROR(INDEX(SCOPE!$R$4:$R$23,MATCH(1,SCOPE!$S$4:$S$23,0)),"")</f>
        <v>8436</v>
      </c>
      <c r="I23" s="30" t="n">
        <f aca="false">IF(B23="","",E23-H23)</f>
        <v>4374</v>
      </c>
      <c r="J23" s="31" t="n">
        <f aca="false">IF(OR(B23="",E23=0),"",I23/E23)</f>
        <v>0.341451990632319</v>
      </c>
    </row>
    <row r="24" customFormat="false" ht="15" hidden="false" customHeight="false" outlineLevel="0" collapsed="false">
      <c r="A24" s="26" t="str">
        <f aca="false">IFERROR(INDEX(SCOPE!$T$4:$T$23,MATCH(2,SCOPE!$S$4:$S$23,0)),"")</f>
        <v>PM</v>
      </c>
      <c r="B24" s="27" t="str">
        <f aca="false">IFERROR(INDEX(SCOPE!$O$4:$O$23,MATCH(2,SCOPE!$S$4:$S$23,0)),"")</f>
        <v>VENUE MANAGEMENT</v>
      </c>
      <c r="C24" s="28" t="n">
        <f aca="false">IF(OR(B24="",D24=0),"",E24/D24)</f>
        <v>90</v>
      </c>
      <c r="D24" s="29" t="n">
        <f aca="false">IFERROR(INDEX(SCOPE!$P$4:$P$23,MATCH(2,SCOPE!$S$4:$S$23,0)),"")</f>
        <v>40</v>
      </c>
      <c r="E24" s="30" t="n">
        <f aca="false">IFERROR(INDEX(SCOPE!$Q$4:$Q$23,MATCH(2,SCOPE!$S$4:$S$23,0)),"")</f>
        <v>3600</v>
      </c>
      <c r="F24" s="28" t="n">
        <f aca="false">IF(OR(B24="",G24=0),"",H24/G24)</f>
        <v>60</v>
      </c>
      <c r="G24" s="29" t="n">
        <f aca="false">IF(B24="","",D24)</f>
        <v>40</v>
      </c>
      <c r="H24" s="30" t="n">
        <f aca="false">IFERROR(INDEX(SCOPE!$R$4:$R$23,MATCH(2,SCOPE!$S$4:$S$23,0)),"")</f>
        <v>2400</v>
      </c>
      <c r="I24" s="30" t="n">
        <f aca="false">IF(B24="","",E24-H24)</f>
        <v>1200</v>
      </c>
      <c r="J24" s="31" t="n">
        <f aca="false">IF(OR(B24="",E24=0),"",I24/E24)</f>
        <v>0.333333333333333</v>
      </c>
    </row>
    <row r="25" customFormat="false" ht="15" hidden="false" customHeight="false" outlineLevel="0" collapsed="false">
      <c r="A25" s="26" t="str">
        <f aca="false">IFERROR(INDEX(SCOPE!$T$4:$T$23,MATCH(3,SCOPE!$S$4:$S$23,0)),"")</f>
        <v>PM</v>
      </c>
      <c r="B25" s="27" t="str">
        <f aca="false">IFERROR(INDEX(SCOPE!$O$4:$O$23,MATCH(3,SCOPE!$S$4:$S$23,0)),"")</f>
        <v>EVENT BRANDING</v>
      </c>
      <c r="C25" s="28" t="n">
        <f aca="false">IF(OR(B25="",D25=0),"",E25/D25)</f>
        <v>90</v>
      </c>
      <c r="D25" s="29" t="n">
        <f aca="false">IFERROR(INDEX(SCOPE!$P$4:$P$23,MATCH(3,SCOPE!$S$4:$S$23,0)),"")</f>
        <v>45</v>
      </c>
      <c r="E25" s="30" t="n">
        <f aca="false">IFERROR(INDEX(SCOPE!$Q$4:$Q$23,MATCH(3,SCOPE!$S$4:$S$23,0)),"")</f>
        <v>4050</v>
      </c>
      <c r="F25" s="28" t="n">
        <f aca="false">IF(OR(B25="",G25=0),"",H25/G25)</f>
        <v>60</v>
      </c>
      <c r="G25" s="29" t="n">
        <f aca="false">IF(B25="","",D25)</f>
        <v>45</v>
      </c>
      <c r="H25" s="30" t="n">
        <f aca="false">IFERROR(INDEX(SCOPE!$R$4:$R$23,MATCH(3,SCOPE!$S$4:$S$23,0)),"")</f>
        <v>2700</v>
      </c>
      <c r="I25" s="30" t="n">
        <f aca="false">IF(B25="","",E25-H25)</f>
        <v>1350</v>
      </c>
      <c r="J25" s="31" t="n">
        <f aca="false">IF(OR(B25="",E25=0),"",I25/E25)</f>
        <v>0.333333333333333</v>
      </c>
    </row>
    <row r="26" customFormat="false" ht="15" hidden="false" customHeight="false" outlineLevel="0" collapsed="false">
      <c r="A26" s="26" t="str">
        <f aca="false">IFERROR(INDEX(SCOPE!$T$4:$T$23,MATCH(4,SCOPE!$S$4:$S$23,0)),"")</f>
        <v>PM</v>
      </c>
      <c r="B26" s="27" t="str">
        <f aca="false">IFERROR(INDEX(SCOPE!$O$4:$O$23,MATCH(4,SCOPE!$S$4:$S$23,0)),"")</f>
        <v>FOOD &amp; BEVERAGE</v>
      </c>
      <c r="C26" s="28" t="n">
        <f aca="false">IF(OR(B26="",D26=0),"",E26/D26)</f>
        <v>90</v>
      </c>
      <c r="D26" s="29" t="n">
        <f aca="false">IFERROR(INDEX(SCOPE!$P$4:$P$23,MATCH(4,SCOPE!$S$4:$S$23,0)),"")</f>
        <v>34</v>
      </c>
      <c r="E26" s="30" t="n">
        <f aca="false">IFERROR(INDEX(SCOPE!$Q$4:$Q$23,MATCH(4,SCOPE!$S$4:$S$23,0)),"")</f>
        <v>3060</v>
      </c>
      <c r="F26" s="28" t="n">
        <f aca="false">IF(OR(B26="",G26=0),"",H26/G26)</f>
        <v>60</v>
      </c>
      <c r="G26" s="29" t="n">
        <f aca="false">IF(B26="","",D26)</f>
        <v>34</v>
      </c>
      <c r="H26" s="30" t="n">
        <f aca="false">IFERROR(INDEX(SCOPE!$R$4:$R$23,MATCH(4,SCOPE!$S$4:$S$23,0)),"")</f>
        <v>2040</v>
      </c>
      <c r="I26" s="30" t="n">
        <f aca="false">IF(B26="","",E26-H26)</f>
        <v>1020</v>
      </c>
      <c r="J26" s="31" t="n">
        <f aca="false">IF(OR(B26="",E26=0),"",I26/E26)</f>
        <v>0.333333333333333</v>
      </c>
    </row>
    <row r="27" customFormat="false" ht="15" hidden="false" customHeight="false" outlineLevel="0" collapsed="false">
      <c r="A27" s="26" t="str">
        <f aca="false">IFERROR(INDEX(SCOPE!$T$4:$T$23,MATCH(5,SCOPE!$S$4:$S$23,0)),"")</f>
        <v>EC</v>
      </c>
      <c r="B27" s="27" t="str">
        <f aca="false">IFERROR(INDEX(SCOPE!$O$4:$O$23,MATCH(5,SCOPE!$S$4:$S$23,0)),"")</f>
        <v>REGISTRATION</v>
      </c>
      <c r="C27" s="28" t="n">
        <f aca="false">IF(OR(B27="",D27=0),"",E27/D27)</f>
        <v>65</v>
      </c>
      <c r="D27" s="29" t="n">
        <f aca="false">IFERROR(INDEX(SCOPE!$P$4:$P$23,MATCH(5,SCOPE!$S$4:$S$23,0)),"")</f>
        <v>82</v>
      </c>
      <c r="E27" s="30" t="n">
        <f aca="false">IFERROR(INDEX(SCOPE!$Q$4:$Q$23,MATCH(5,SCOPE!$S$4:$S$23,0)),"")</f>
        <v>5330</v>
      </c>
      <c r="F27" s="28" t="n">
        <f aca="false">IF(OR(B27="",G27=0),"",H27/G27)</f>
        <v>42</v>
      </c>
      <c r="G27" s="29" t="n">
        <f aca="false">IF(B27="","",D27)</f>
        <v>82</v>
      </c>
      <c r="H27" s="30" t="n">
        <f aca="false">IFERROR(INDEX(SCOPE!$R$4:$R$23,MATCH(5,SCOPE!$S$4:$S$23,0)),"")</f>
        <v>3444</v>
      </c>
      <c r="I27" s="30" t="n">
        <f aca="false">IF(B27="","",E27-H27)</f>
        <v>1886</v>
      </c>
      <c r="J27" s="31" t="n">
        <f aca="false">IF(OR(B27="",E27=0),"",I27/E27)</f>
        <v>0.353846153846154</v>
      </c>
    </row>
    <row r="28" customFormat="false" ht="15" hidden="false" customHeight="false" outlineLevel="0" collapsed="false">
      <c r="A28" s="26" t="str">
        <f aca="false">IFERROR(INDEX(SCOPE!$T$4:$T$23,MATCH(6,SCOPE!$S$4:$S$23,0)),"")</f>
        <v>EC</v>
      </c>
      <c r="B28" s="27" t="str">
        <f aca="false">IFERROR(INDEX(SCOPE!$O$4:$O$23,MATCH(6,SCOPE!$S$4:$S$23,0)),"")</f>
        <v>THIRD PARTY VENDORS</v>
      </c>
      <c r="C28" s="28" t="n">
        <f aca="false">IF(OR(B28="",D28=0),"",E28/D28)</f>
        <v>65</v>
      </c>
      <c r="D28" s="29" t="n">
        <f aca="false">IFERROR(INDEX(SCOPE!$P$4:$P$23,MATCH(6,SCOPE!$S$4:$S$23,0)),"")</f>
        <v>40</v>
      </c>
      <c r="E28" s="30" t="n">
        <f aca="false">IFERROR(INDEX(SCOPE!$Q$4:$Q$23,MATCH(6,SCOPE!$S$4:$S$23,0)),"")</f>
        <v>2600</v>
      </c>
      <c r="F28" s="28" t="n">
        <f aca="false">IF(OR(B28="",G28=0),"",H28/G28)</f>
        <v>42</v>
      </c>
      <c r="G28" s="29" t="n">
        <f aca="false">IF(B28="","",D28)</f>
        <v>40</v>
      </c>
      <c r="H28" s="30" t="n">
        <f aca="false">IFERROR(INDEX(SCOPE!$R$4:$R$23,MATCH(6,SCOPE!$S$4:$S$23,0)),"")</f>
        <v>1680</v>
      </c>
      <c r="I28" s="30" t="n">
        <f aca="false">IF(B28="","",E28-H28)</f>
        <v>920</v>
      </c>
      <c r="J28" s="31" t="n">
        <f aca="false">IF(OR(B28="",E28=0),"",I28/E28)</f>
        <v>0.353846153846154</v>
      </c>
    </row>
    <row r="29" customFormat="false" ht="15" hidden="false" customHeight="false" outlineLevel="0" collapsed="false">
      <c r="A29" s="26" t="str">
        <f aca="false">IFERROR(INDEX(SCOPE!$T$4:$T$23,MATCH(7,SCOPE!$S$4:$S$23,0)),"")</f>
        <v>PM</v>
      </c>
      <c r="B29" s="27" t="str">
        <f aca="false">IFERROR(INDEX(SCOPE!$O$4:$O$23,MATCH(7,SCOPE!$S$4:$S$23,0)),"")</f>
        <v>STAFF MANAGEMENT</v>
      </c>
      <c r="C29" s="28" t="n">
        <f aca="false">IF(OR(B29="",D29=0),"",E29/D29)</f>
        <v>90</v>
      </c>
      <c r="D29" s="29" t="n">
        <f aca="false">IFERROR(INDEX(SCOPE!$P$4:$P$23,MATCH(7,SCOPE!$S$4:$S$23,0)),"")</f>
        <v>14</v>
      </c>
      <c r="E29" s="30" t="n">
        <f aca="false">IFERROR(INDEX(SCOPE!$Q$4:$Q$23,MATCH(7,SCOPE!$S$4:$S$23,0)),"")</f>
        <v>1260</v>
      </c>
      <c r="F29" s="28" t="n">
        <f aca="false">IF(OR(B29="",G29=0),"",H29/G29)</f>
        <v>60</v>
      </c>
      <c r="G29" s="29" t="n">
        <f aca="false">IF(B29="","",D29)</f>
        <v>14</v>
      </c>
      <c r="H29" s="30" t="n">
        <f aca="false">IFERROR(INDEX(SCOPE!$R$4:$R$23,MATCH(7,SCOPE!$S$4:$S$23,0)),"")</f>
        <v>840</v>
      </c>
      <c r="I29" s="30" t="n">
        <f aca="false">IF(B29="","",E29-H29)</f>
        <v>420</v>
      </c>
      <c r="J29" s="31" t="n">
        <f aca="false">IF(OR(B29="",E29=0),"",I29/E29)</f>
        <v>0.333333333333333</v>
      </c>
    </row>
    <row r="30" customFormat="false" ht="15" hidden="false" customHeight="false" outlineLevel="0" collapsed="false">
      <c r="A30" s="26" t="str">
        <f aca="false">IFERROR(INDEX(SCOPE!$T$4:$T$23,MATCH(8,SCOPE!$S$4:$S$23,0)),"")</f>
        <v>EC</v>
      </c>
      <c r="B30" s="27" t="str">
        <f aca="false">IFERROR(INDEX(SCOPE!$O$4:$O$23,MATCH(8,SCOPE!$S$4:$S$23,0)),"")</f>
        <v>SPONSORSHIPS</v>
      </c>
      <c r="C30" s="28" t="n">
        <f aca="false">IF(OR(B30="",D30=0),"",E30/D30)</f>
        <v>65</v>
      </c>
      <c r="D30" s="29" t="n">
        <f aca="false">IFERROR(INDEX(SCOPE!$P$4:$P$23,MATCH(8,SCOPE!$S$4:$S$23,0)),"")</f>
        <v>32</v>
      </c>
      <c r="E30" s="30" t="n">
        <f aca="false">IFERROR(INDEX(SCOPE!$Q$4:$Q$23,MATCH(8,SCOPE!$S$4:$S$23,0)),"")</f>
        <v>2080</v>
      </c>
      <c r="F30" s="28" t="n">
        <f aca="false">IF(OR(B30="",G30=0),"",H30/G30)</f>
        <v>42</v>
      </c>
      <c r="G30" s="29" t="n">
        <f aca="false">IF(B30="","",D30)</f>
        <v>32</v>
      </c>
      <c r="H30" s="30" t="n">
        <f aca="false">IFERROR(INDEX(SCOPE!$R$4:$R$23,MATCH(8,SCOPE!$S$4:$S$23,0)),"")</f>
        <v>1344</v>
      </c>
      <c r="I30" s="30" t="n">
        <f aca="false">IF(B30="","",E30-H30)</f>
        <v>736</v>
      </c>
      <c r="J30" s="31" t="n">
        <f aca="false">IF(OR(B30="",E30=0),"",I30/E30)</f>
        <v>0.353846153846154</v>
      </c>
    </row>
    <row r="31" customFormat="false" ht="15" hidden="false" customHeight="false" outlineLevel="0" collapsed="false">
      <c r="A31" s="26" t="str">
        <f aca="false">IFERROR(INDEX(SCOPE!$T$4:$T$23,MATCH(9,SCOPE!$S$4:$S$23,0)),"")</f>
        <v>PM</v>
      </c>
      <c r="B31" s="27" t="str">
        <f aca="false">IFERROR(INDEX(SCOPE!$O$4:$O$23,MATCH(9,SCOPE!$S$4:$S$23,0)),"")</f>
        <v>PROGRAMMING</v>
      </c>
      <c r="C31" s="28" t="n">
        <f aca="false">IF(OR(B31="",D31=0),"",E31/D31)</f>
        <v>90</v>
      </c>
      <c r="D31" s="29" t="n">
        <f aca="false">IFERROR(INDEX(SCOPE!$P$4:$P$23,MATCH(9,SCOPE!$S$4:$S$23,0)),"")</f>
        <v>63</v>
      </c>
      <c r="E31" s="30" t="n">
        <f aca="false">IFERROR(INDEX(SCOPE!$Q$4:$Q$23,MATCH(9,SCOPE!$S$4:$S$23,0)),"")</f>
        <v>5670</v>
      </c>
      <c r="F31" s="28" t="n">
        <f aca="false">IF(OR(B31="",G31=0),"",H31/G31)</f>
        <v>60</v>
      </c>
      <c r="G31" s="29" t="n">
        <f aca="false">IF(B31="","",D31)</f>
        <v>63</v>
      </c>
      <c r="H31" s="30" t="n">
        <f aca="false">IFERROR(INDEX(SCOPE!$R$4:$R$23,MATCH(9,SCOPE!$S$4:$S$23,0)),"")</f>
        <v>3780</v>
      </c>
      <c r="I31" s="30" t="n">
        <f aca="false">IF(B31="","",E31-H31)</f>
        <v>1890</v>
      </c>
      <c r="J31" s="31" t="n">
        <f aca="false">IF(OR(B31="",E31=0),"",I31/E31)</f>
        <v>0.333333333333333</v>
      </c>
    </row>
    <row r="32" customFormat="false" ht="15" hidden="false" customHeight="false" outlineLevel="0" collapsed="false">
      <c r="A32" s="26" t="str">
        <f aca="false">IFERROR(INDEX(SCOPE!$T$4:$T$23,MATCH(10,SCOPE!$S$4:$S$23,0)),"")</f>
        <v>PM</v>
      </c>
      <c r="B32" s="27" t="str">
        <f aca="false">IFERROR(INDEX(SCOPE!$O$4:$O$23,MATCH(10,SCOPE!$S$4:$S$23,0)),"")</f>
        <v>FINANCIAL MANAGEMENT</v>
      </c>
      <c r="C32" s="28" t="n">
        <f aca="false">IF(OR(B32="",D32=0),"",E32/D32)</f>
        <v>90</v>
      </c>
      <c r="D32" s="29" t="n">
        <f aca="false">IFERROR(INDEX(SCOPE!$P$4:$P$23,MATCH(10,SCOPE!$S$4:$S$23,0)),"")</f>
        <v>18</v>
      </c>
      <c r="E32" s="30" t="n">
        <f aca="false">IFERROR(INDEX(SCOPE!$Q$4:$Q$23,MATCH(10,SCOPE!$S$4:$S$23,0)),"")</f>
        <v>1620</v>
      </c>
      <c r="F32" s="28" t="n">
        <f aca="false">IF(OR(B32="",G32=0),"",H32/G32)</f>
        <v>60</v>
      </c>
      <c r="G32" s="29" t="n">
        <f aca="false">IF(B32="","",D32)</f>
        <v>18</v>
      </c>
      <c r="H32" s="30" t="n">
        <f aca="false">IFERROR(INDEX(SCOPE!$R$4:$R$23,MATCH(10,SCOPE!$S$4:$S$23,0)),"")</f>
        <v>1080</v>
      </c>
      <c r="I32" s="30" t="n">
        <f aca="false">IF(B32="","",E32-H32)</f>
        <v>540</v>
      </c>
      <c r="J32" s="31" t="n">
        <f aca="false">IF(OR(B32="",E32=0),"",I32/E32)</f>
        <v>0.333333333333333</v>
      </c>
    </row>
    <row r="33" customFormat="false" ht="15" hidden="false" customHeight="false" outlineLevel="0" collapsed="false">
      <c r="A33" s="26" t="str">
        <f aca="false">IFERROR(INDEX(SCOPE!$T$4:$T$23,MATCH(11,SCOPE!$S$4:$S$23,0)),"")</f>
        <v>PM</v>
      </c>
      <c r="B33" s="27" t="str">
        <f aca="false">IFERROR(INDEX(SCOPE!$O$4:$O$23,MATCH(11,SCOPE!$S$4:$S$23,0)),"")</f>
        <v>EXHIBIT MANAGEMENT</v>
      </c>
      <c r="C33" s="28" t="n">
        <f aca="false">IF(OR(B33="",D33=0),"",E33/D33)</f>
        <v>90</v>
      </c>
      <c r="D33" s="29" t="n">
        <f aca="false">IFERROR(INDEX(SCOPE!$P$4:$P$23,MATCH(11,SCOPE!$S$4:$S$23,0)),"")</f>
        <v>60</v>
      </c>
      <c r="E33" s="30" t="n">
        <f aca="false">IFERROR(INDEX(SCOPE!$Q$4:$Q$23,MATCH(11,SCOPE!$S$4:$S$23,0)),"")</f>
        <v>5400</v>
      </c>
      <c r="F33" s="28" t="n">
        <f aca="false">IF(OR(B33="",G33=0),"",H33/G33)</f>
        <v>60</v>
      </c>
      <c r="G33" s="29" t="n">
        <f aca="false">IF(B33="","",D33)</f>
        <v>60</v>
      </c>
      <c r="H33" s="30" t="n">
        <f aca="false">IFERROR(INDEX(SCOPE!$R$4:$R$23,MATCH(11,SCOPE!$S$4:$S$23,0)),"")</f>
        <v>3600</v>
      </c>
      <c r="I33" s="30" t="n">
        <f aca="false">IF(B33="","",E33-H33)</f>
        <v>1800</v>
      </c>
      <c r="J33" s="31" t="n">
        <f aca="false">IF(OR(B33="",E33=0),"",I33/E33)</f>
        <v>0.333333333333333</v>
      </c>
    </row>
    <row r="34" customFormat="false" ht="15" hidden="false" customHeight="false" outlineLevel="0" collapsed="false">
      <c r="A34" s="26" t="str">
        <f aca="false">IFERROR(INDEX(SCOPE!$T$4:$T$23,MATCH(12,SCOPE!$S$4:$S$23,0)),"")</f>
        <v>PM</v>
      </c>
      <c r="B34" s="27" t="str">
        <f aca="false">IFERROR(INDEX(SCOPE!$O$4:$O$23,MATCH(12,SCOPE!$S$4:$S$23,0)),"")</f>
        <v>POST-EVENT</v>
      </c>
      <c r="C34" s="28" t="n">
        <f aca="false">IF(OR(B34="",D34=0),"",E34/D34)</f>
        <v>90</v>
      </c>
      <c r="D34" s="29" t="n">
        <f aca="false">IFERROR(INDEX(SCOPE!$P$4:$P$23,MATCH(12,SCOPE!$S$4:$S$23,0)),"")</f>
        <v>15</v>
      </c>
      <c r="E34" s="30" t="n">
        <f aca="false">IFERROR(INDEX(SCOPE!$Q$4:$Q$23,MATCH(12,SCOPE!$S$4:$S$23,0)),"")</f>
        <v>1350</v>
      </c>
      <c r="F34" s="28" t="n">
        <f aca="false">IF(OR(B34="",G34=0),"",H34/G34)</f>
        <v>60</v>
      </c>
      <c r="G34" s="29" t="n">
        <f aca="false">IF(B34="","",D34)</f>
        <v>15</v>
      </c>
      <c r="H34" s="30" t="n">
        <f aca="false">IFERROR(INDEX(SCOPE!$R$4:$R$23,MATCH(12,SCOPE!$S$4:$S$23,0)),"")</f>
        <v>900</v>
      </c>
      <c r="I34" s="30" t="n">
        <f aca="false">IF(B34="","",E34-H34)</f>
        <v>450</v>
      </c>
      <c r="J34" s="31" t="n">
        <f aca="false">IF(OR(B34="",E34=0),"",I34/E34)</f>
        <v>0.333333333333333</v>
      </c>
    </row>
    <row r="35" customFormat="false" ht="15" hidden="false" customHeight="false" outlineLevel="0" collapsed="false">
      <c r="A35" s="26" t="str">
        <f aca="false">IFERROR(INDEX(SCOPE!$T$4:$T$23,MATCH(13,SCOPE!$S$4:$S$23,0)),"")</f>
        <v/>
      </c>
      <c r="B35" s="27" t="str">
        <f aca="false">IFERROR(INDEX(SCOPE!$O$4:$O$23,MATCH(13,SCOPE!$S$4:$S$23,0)),"")</f>
        <v/>
      </c>
      <c r="C35" s="28" t="str">
        <f aca="false">IF(OR(B35="",D35=0),"",E35/D35)</f>
        <v/>
      </c>
      <c r="D35" s="29" t="str">
        <f aca="false">IFERROR(INDEX(SCOPE!$P$4:$P$23,MATCH(13,SCOPE!$S$4:$S$23,0)),"")</f>
        <v/>
      </c>
      <c r="E35" s="30" t="str">
        <f aca="false">IFERROR(INDEX(SCOPE!$Q$4:$Q$23,MATCH(13,SCOPE!$S$4:$S$23,0)),"")</f>
        <v/>
      </c>
      <c r="F35" s="28" t="str">
        <f aca="false">IF(OR(B35="",G35=0),"",H35/G35)</f>
        <v/>
      </c>
      <c r="G35" s="29" t="str">
        <f aca="false">IF(B35="","",D35)</f>
        <v/>
      </c>
      <c r="H35" s="30" t="str">
        <f aca="false">IFERROR(INDEX(SCOPE!$R$4:$R$23,MATCH(13,SCOPE!$S$4:$S$23,0)),"")</f>
        <v/>
      </c>
      <c r="I35" s="30" t="str">
        <f aca="false">IF(B35="","",E35-H35)</f>
        <v/>
      </c>
      <c r="J35" s="31" t="str">
        <f aca="false">IF(OR(B35="",E35=0),"",I35/E35)</f>
        <v/>
      </c>
    </row>
    <row r="36" customFormat="false" ht="15" hidden="false" customHeight="false" outlineLevel="0" collapsed="false">
      <c r="A36" s="26" t="str">
        <f aca="false">IFERROR(INDEX(SCOPE!$T$4:$T$23,MATCH(14,SCOPE!$S$4:$S$23,0)),"")</f>
        <v/>
      </c>
      <c r="B36" s="27" t="str">
        <f aca="false">IFERROR(INDEX(SCOPE!$O$4:$O$23,MATCH(14,SCOPE!$S$4:$S$23,0)),"")</f>
        <v/>
      </c>
      <c r="C36" s="28" t="str">
        <f aca="false">IF(OR(B36="",D36=0),"",E36/D36)</f>
        <v/>
      </c>
      <c r="D36" s="29" t="str">
        <f aca="false">IFERROR(INDEX(SCOPE!$P$4:$P$23,MATCH(14,SCOPE!$S$4:$S$23,0)),"")</f>
        <v/>
      </c>
      <c r="E36" s="30" t="str">
        <f aca="false">IFERROR(INDEX(SCOPE!$Q$4:$Q$23,MATCH(14,SCOPE!$S$4:$S$23,0)),"")</f>
        <v/>
      </c>
      <c r="F36" s="28" t="str">
        <f aca="false">IF(OR(B36="",G36=0),"",H36/G36)</f>
        <v/>
      </c>
      <c r="G36" s="29" t="str">
        <f aca="false">IF(B36="","",D36)</f>
        <v/>
      </c>
      <c r="H36" s="30" t="str">
        <f aca="false">IFERROR(INDEX(SCOPE!$R$4:$R$23,MATCH(14,SCOPE!$S$4:$S$23,0)),"")</f>
        <v/>
      </c>
      <c r="I36" s="30" t="str">
        <f aca="false">IF(B36="","",E36-H36)</f>
        <v/>
      </c>
      <c r="J36" s="31" t="str">
        <f aca="false">IF(OR(B36="",E36=0),"",I36/E36)</f>
        <v/>
      </c>
    </row>
    <row r="37" customFormat="false" ht="15" hidden="false" customHeight="false" outlineLevel="0" collapsed="false">
      <c r="A37" s="26" t="str">
        <f aca="false">IFERROR(INDEX(SCOPE!$T$4:$T$23,MATCH(15,SCOPE!$S$4:$S$23,0)),"")</f>
        <v/>
      </c>
      <c r="B37" s="27" t="str">
        <f aca="false">IFERROR(INDEX(SCOPE!$O$4:$O$23,MATCH(15,SCOPE!$S$4:$S$23,0)),"")</f>
        <v/>
      </c>
      <c r="C37" s="28" t="str">
        <f aca="false">IF(OR(B37="",D37=0),"",E37/D37)</f>
        <v/>
      </c>
      <c r="D37" s="29" t="str">
        <f aca="false">IFERROR(INDEX(SCOPE!$P$4:$P$23,MATCH(15,SCOPE!$S$4:$S$23,0)),"")</f>
        <v/>
      </c>
      <c r="E37" s="30" t="str">
        <f aca="false">IFERROR(INDEX(SCOPE!$Q$4:$Q$23,MATCH(15,SCOPE!$S$4:$S$23,0)),"")</f>
        <v/>
      </c>
      <c r="F37" s="28" t="str">
        <f aca="false">IF(OR(B37="",G37=0),"",H37/G37)</f>
        <v/>
      </c>
      <c r="G37" s="29" t="str">
        <f aca="false">IF(B37="","",D37)</f>
        <v/>
      </c>
      <c r="H37" s="30" t="str">
        <f aca="false">IFERROR(INDEX(SCOPE!$R$4:$R$23,MATCH(15,SCOPE!$S$4:$S$23,0)),"")</f>
        <v/>
      </c>
      <c r="I37" s="30" t="str">
        <f aca="false">IF(B37="","",E37-H37)</f>
        <v/>
      </c>
      <c r="J37" s="31" t="str">
        <f aca="false">IF(OR(B37="",E37=0),"",I37/E37)</f>
        <v/>
      </c>
    </row>
    <row r="38" customFormat="false" ht="15" hidden="false" customHeight="false" outlineLevel="0" collapsed="false">
      <c r="A38" s="26" t="str">
        <f aca="false">IFERROR(INDEX(SCOPE!$T$4:$T$23,MATCH(16,SCOPE!$S$4:$S$23,0)),"")</f>
        <v/>
      </c>
      <c r="B38" s="27" t="str">
        <f aca="false">IFERROR(INDEX(SCOPE!$O$4:$O$23,MATCH(16,SCOPE!$S$4:$S$23,0)),"")</f>
        <v/>
      </c>
      <c r="C38" s="28" t="str">
        <f aca="false">IF(OR(B38="",D38=0),"",E38/D38)</f>
        <v/>
      </c>
      <c r="D38" s="29" t="str">
        <f aca="false">IFERROR(INDEX(SCOPE!$P$4:$P$23,MATCH(16,SCOPE!$S$4:$S$23,0)),"")</f>
        <v/>
      </c>
      <c r="E38" s="30" t="str">
        <f aca="false">IFERROR(INDEX(SCOPE!$Q$4:$Q$23,MATCH(16,SCOPE!$S$4:$S$23,0)),"")</f>
        <v/>
      </c>
      <c r="F38" s="28" t="str">
        <f aca="false">IF(OR(B38="",G38=0),"",H38/G38)</f>
        <v/>
      </c>
      <c r="G38" s="29" t="str">
        <f aca="false">IF(B38="","",D38)</f>
        <v/>
      </c>
      <c r="H38" s="30" t="str">
        <f aca="false">IFERROR(INDEX(SCOPE!$R$4:$R$23,MATCH(16,SCOPE!$S$4:$S$23,0)),"")</f>
        <v/>
      </c>
      <c r="I38" s="30" t="str">
        <f aca="false">IF(B38="","",E38-H38)</f>
        <v/>
      </c>
      <c r="J38" s="31" t="str">
        <f aca="false">IF(OR(B38="",E38=0),"",I38/E38)</f>
        <v/>
      </c>
    </row>
    <row r="39" customFormat="false" ht="15" hidden="false" customHeight="false" outlineLevel="0" collapsed="false">
      <c r="A39" s="26" t="str">
        <f aca="false">IFERROR(INDEX(SCOPE!$T$4:$T$23,MATCH(17,SCOPE!$S$4:$S$23,0)),"")</f>
        <v/>
      </c>
      <c r="B39" s="27" t="str">
        <f aca="false">IFERROR(INDEX(SCOPE!$O$4:$O$23,MATCH(17,SCOPE!$S$4:$S$23,0)),"")</f>
        <v/>
      </c>
      <c r="C39" s="28" t="str">
        <f aca="false">IF(OR(B39="",D39=0),"",E39/D39)</f>
        <v/>
      </c>
      <c r="D39" s="29" t="str">
        <f aca="false">IFERROR(INDEX(SCOPE!$P$4:$P$23,MATCH(17,SCOPE!$S$4:$S$23,0)),"")</f>
        <v/>
      </c>
      <c r="E39" s="30" t="str">
        <f aca="false">IFERROR(INDEX(SCOPE!$Q$4:$Q$23,MATCH(17,SCOPE!$S$4:$S$23,0)),"")</f>
        <v/>
      </c>
      <c r="F39" s="28" t="str">
        <f aca="false">IF(OR(B39="",G39=0),"",H39/G39)</f>
        <v/>
      </c>
      <c r="G39" s="29" t="str">
        <f aca="false">IF(B39="","",D39)</f>
        <v/>
      </c>
      <c r="H39" s="30" t="str">
        <f aca="false">IFERROR(INDEX(SCOPE!$R$4:$R$23,MATCH(17,SCOPE!$S$4:$S$23,0)),"")</f>
        <v/>
      </c>
      <c r="I39" s="30" t="str">
        <f aca="false">IF(B39="","",E39-H39)</f>
        <v/>
      </c>
      <c r="J39" s="31" t="str">
        <f aca="false">IF(OR(B39="",E39=0),"",I39/E39)</f>
        <v/>
      </c>
    </row>
    <row r="40" customFormat="false" ht="15" hidden="false" customHeight="false" outlineLevel="0" collapsed="false">
      <c r="A40" s="26" t="str">
        <f aca="false">IFERROR(INDEX(SCOPE!$T$4:$T$23,MATCH(18,SCOPE!$S$4:$S$23,0)),"")</f>
        <v/>
      </c>
      <c r="B40" s="27" t="str">
        <f aca="false">IFERROR(INDEX(SCOPE!$O$4:$O$23,MATCH(18,SCOPE!$S$4:$S$23,0)),"")</f>
        <v/>
      </c>
      <c r="C40" s="28" t="str">
        <f aca="false">IF(OR(B40="",D40=0),"",E40/D40)</f>
        <v/>
      </c>
      <c r="D40" s="29" t="str">
        <f aca="false">IFERROR(INDEX(SCOPE!$P$4:$P$23,MATCH(18,SCOPE!$S$4:$S$23,0)),"")</f>
        <v/>
      </c>
      <c r="E40" s="30" t="str">
        <f aca="false">IFERROR(INDEX(SCOPE!$Q$4:$Q$23,MATCH(18,SCOPE!$S$4:$S$23,0)),"")</f>
        <v/>
      </c>
      <c r="F40" s="28" t="str">
        <f aca="false">IF(OR(B40="",G40=0),"",H40/G40)</f>
        <v/>
      </c>
      <c r="G40" s="29" t="str">
        <f aca="false">IF(B40="","",D40)</f>
        <v/>
      </c>
      <c r="H40" s="30" t="str">
        <f aca="false">IFERROR(INDEX(SCOPE!$R$4:$R$23,MATCH(18,SCOPE!$S$4:$S$23,0)),"")</f>
        <v/>
      </c>
      <c r="I40" s="30" t="str">
        <f aca="false">IF(B40="","",E40-H40)</f>
        <v/>
      </c>
      <c r="J40" s="31" t="str">
        <f aca="false">IF(OR(B40="",E40=0),"",I40/E40)</f>
        <v/>
      </c>
    </row>
    <row r="41" customFormat="false" ht="15" hidden="false" customHeight="false" outlineLevel="0" collapsed="false">
      <c r="A41" s="26" t="str">
        <f aca="false">IFERROR(INDEX(SCOPE!$T$4:$T$23,MATCH(19,SCOPE!$S$4:$S$23,0)),"")</f>
        <v/>
      </c>
      <c r="B41" s="27" t="str">
        <f aca="false">IFERROR(INDEX(SCOPE!$O$4:$O$23,MATCH(19,SCOPE!$S$4:$S$23,0)),"")</f>
        <v/>
      </c>
      <c r="C41" s="28" t="str">
        <f aca="false">IF(OR(B41="",D41=0),"",E41/D41)</f>
        <v/>
      </c>
      <c r="D41" s="29" t="str">
        <f aca="false">IFERROR(INDEX(SCOPE!$P$4:$P$23,MATCH(19,SCOPE!$S$4:$S$23,0)),"")</f>
        <v/>
      </c>
      <c r="E41" s="30" t="str">
        <f aca="false">IFERROR(INDEX(SCOPE!$Q$4:$Q$23,MATCH(19,SCOPE!$S$4:$S$23,0)),"")</f>
        <v/>
      </c>
      <c r="F41" s="28" t="str">
        <f aca="false">IF(OR(B41="",G41=0),"",H41/G41)</f>
        <v/>
      </c>
      <c r="G41" s="29" t="str">
        <f aca="false">IF(B41="","",D41)</f>
        <v/>
      </c>
      <c r="H41" s="30" t="str">
        <f aca="false">IFERROR(INDEX(SCOPE!$R$4:$R$23,MATCH(19,SCOPE!$S$4:$S$23,0)),"")</f>
        <v/>
      </c>
      <c r="I41" s="30" t="str">
        <f aca="false">IF(B41="","",E41-H41)</f>
        <v/>
      </c>
      <c r="J41" s="31" t="str">
        <f aca="false">IF(OR(B41="",E41=0),"",I41/E41)</f>
        <v/>
      </c>
    </row>
    <row r="42" customFormat="false" ht="15" hidden="false" customHeight="false" outlineLevel="0" collapsed="false">
      <c r="A42" s="26" t="str">
        <f aca="false">IFERROR(INDEX(SCOPE!$T$4:$T$23,MATCH(20,SCOPE!$S$4:$S$23,0)),"")</f>
        <v/>
      </c>
      <c r="B42" s="27" t="str">
        <f aca="false">IFERROR(INDEX(SCOPE!$O$4:$O$23,MATCH(20,SCOPE!$S$4:$S$23,0)),"")</f>
        <v/>
      </c>
      <c r="C42" s="28" t="str">
        <f aca="false">IF(OR(B42="",D42=0),"",E42/D42)</f>
        <v/>
      </c>
      <c r="D42" s="29" t="str">
        <f aca="false">IFERROR(INDEX(SCOPE!$P$4:$P$23,MATCH(20,SCOPE!$S$4:$S$23,0)),"")</f>
        <v/>
      </c>
      <c r="E42" s="30" t="str">
        <f aca="false">IFERROR(INDEX(SCOPE!$Q$4:$Q$23,MATCH(20,SCOPE!$S$4:$S$23,0)),"")</f>
        <v/>
      </c>
      <c r="F42" s="28" t="str">
        <f aca="false">IF(OR(B42="",G42=0),"",H42/G42)</f>
        <v/>
      </c>
      <c r="G42" s="29" t="str">
        <f aca="false">IF(B42="","",D42)</f>
        <v/>
      </c>
      <c r="H42" s="30" t="str">
        <f aca="false">IFERROR(INDEX(SCOPE!$R$4:$R$23,MATCH(20,SCOPE!$S$4:$S$23,0)),"")</f>
        <v/>
      </c>
      <c r="I42" s="30" t="str">
        <f aca="false">IF(B42="","",E42-H42)</f>
        <v/>
      </c>
      <c r="J42" s="31" t="str">
        <f aca="false">IF(OR(B42="",E42=0),"",I42/E42)</f>
        <v/>
      </c>
    </row>
    <row r="43" customFormat="false" ht="15" hidden="false" customHeight="false" outlineLevel="0" collapsed="false">
      <c r="A43" s="32"/>
      <c r="B43" s="33" t="s">
        <v>6</v>
      </c>
      <c r="C43" s="34"/>
      <c r="D43" s="35" t="n">
        <f aca="false">SUM(D23:D42)</f>
        <v>568</v>
      </c>
      <c r="E43" s="36" t="n">
        <f aca="false">SUM(E23:E42)</f>
        <v>48830</v>
      </c>
      <c r="F43" s="34"/>
      <c r="G43" s="35" t="n">
        <f aca="false">SUM(G23:G42)</f>
        <v>568</v>
      </c>
      <c r="H43" s="36" t="n">
        <f aca="false">SUM(H23:H42)</f>
        <v>32244</v>
      </c>
      <c r="I43" s="36" t="n">
        <f aca="false">SUM(I23:I42)</f>
        <v>16586</v>
      </c>
      <c r="J43" s="37" t="n">
        <f aca="false">IF(E43=0,"",I43/E43)</f>
        <v>0.339668236739709</v>
      </c>
    </row>
    <row r="45" customFormat="false" ht="19.5" hidden="false" customHeight="true" outlineLevel="0" collapsed="false">
      <c r="B45" s="3" t="s">
        <v>27</v>
      </c>
      <c r="C45" s="3"/>
      <c r="D45" s="3"/>
      <c r="E45" s="3"/>
      <c r="F45" s="3"/>
      <c r="G45" s="3"/>
      <c r="H45" s="3"/>
      <c r="I45" s="3"/>
      <c r="J45" s="3"/>
    </row>
    <row r="46" customFormat="false" ht="25.5" hidden="false" customHeight="true" outlineLevel="0" collapsed="false">
      <c r="B46" s="14" t="s">
        <v>24</v>
      </c>
      <c r="C46" s="14" t="s">
        <v>25</v>
      </c>
      <c r="D46" s="14" t="s">
        <v>11</v>
      </c>
      <c r="E46" s="14" t="s">
        <v>2</v>
      </c>
      <c r="F46" s="14" t="s">
        <v>26</v>
      </c>
      <c r="G46" s="14" t="s">
        <v>11</v>
      </c>
      <c r="H46" s="14" t="s">
        <v>3</v>
      </c>
      <c r="I46" s="14" t="s">
        <v>4</v>
      </c>
      <c r="J46" s="14" t="s">
        <v>5</v>
      </c>
    </row>
    <row r="47" customFormat="false" ht="15" hidden="false" customHeight="false" outlineLevel="0" collapsed="false">
      <c r="A47" s="26" t="str">
        <f aca="false">IF(1&lt;=INPUTS!$C$27,"PM","")</f>
        <v>PM</v>
      </c>
      <c r="B47" s="27" t="str">
        <f aca="false">IF(1&lt;=INPUTS!$C$27,INPUTS!$C$58,"")</f>
        <v>Project Manager</v>
      </c>
      <c r="C47" s="28" t="n">
        <f aca="false">IF(1&lt;=INPUTS!$C$27,INPUTS!$C$37,"")</f>
        <v>100</v>
      </c>
      <c r="D47" s="29" t="n">
        <f aca="false">IF(1&lt;=INPUTS!$C$27,(INPUTS!$C$18+INPUTS!$C$19)*INPUTS!$C$42+INPUTS!$C$20*INPUTS!$C$45,"")</f>
        <v>48</v>
      </c>
      <c r="E47" s="30" t="n">
        <f aca="false">IF(B47="","",C47*D47)</f>
        <v>4800</v>
      </c>
      <c r="F47" s="28" t="n">
        <f aca="false">IF(1&lt;=INPUTS!$C$27,INPUTS!$C$33,"")</f>
        <v>60</v>
      </c>
      <c r="G47" s="29" t="n">
        <f aca="false">IF(B47="","",D47)</f>
        <v>48</v>
      </c>
      <c r="H47" s="30" t="n">
        <f aca="false">IF(B47="","",F47*G47)</f>
        <v>2880</v>
      </c>
      <c r="I47" s="30" t="n">
        <f aca="false">IF(B47="","",E47-H47)</f>
        <v>1920</v>
      </c>
      <c r="J47" s="31" t="n">
        <f aca="false">IF(OR(B47="",E47=0),"",I47/E47)</f>
        <v>0.4</v>
      </c>
    </row>
    <row r="48" customFormat="false" ht="15" hidden="false" customHeight="false" outlineLevel="0" collapsed="false">
      <c r="A48" s="26" t="str">
        <f aca="false">IF(2&lt;=INPUTS!$C$27,"PM","")</f>
        <v>PM</v>
      </c>
      <c r="B48" s="27" t="str">
        <f aca="false">IF(2&lt;=INPUTS!$C$27,INPUTS!$C$59,"")</f>
        <v>Event Manager</v>
      </c>
      <c r="C48" s="28" t="n">
        <f aca="false">IF(2&lt;=INPUTS!$C$27,INPUTS!$C$37,"")</f>
        <v>100</v>
      </c>
      <c r="D48" s="29" t="n">
        <f aca="false">IF(2&lt;=INPUTS!$C$27,(INPUTS!$C$18+INPUTS!$C$19)*INPUTS!$C$42+INPUTS!$C$20*INPUTS!$C$45,"")</f>
        <v>48</v>
      </c>
      <c r="E48" s="30" t="n">
        <f aca="false">IF(B48="","",C48*D48)</f>
        <v>4800</v>
      </c>
      <c r="F48" s="28" t="n">
        <f aca="false">IF(2&lt;=INPUTS!$C$27,INPUTS!$C$33,"")</f>
        <v>60</v>
      </c>
      <c r="G48" s="29" t="n">
        <f aca="false">IF(B48="","",D48)</f>
        <v>48</v>
      </c>
      <c r="H48" s="30" t="n">
        <f aca="false">IF(B48="","",F48*G48)</f>
        <v>2880</v>
      </c>
      <c r="I48" s="30" t="n">
        <f aca="false">IF(B48="","",E48-H48)</f>
        <v>1920</v>
      </c>
      <c r="J48" s="31" t="n">
        <f aca="false">IF(OR(B48="",E48=0),"",I48/E48)</f>
        <v>0.4</v>
      </c>
    </row>
    <row r="49" customFormat="false" ht="15" hidden="false" customHeight="false" outlineLevel="0" collapsed="false">
      <c r="A49" s="26" t="str">
        <f aca="false">IF(3&lt;=INPUTS!$C$27,"PM","")</f>
        <v>PM</v>
      </c>
      <c r="B49" s="27" t="str">
        <f aca="false">IF(3&lt;=INPUTS!$C$27,INPUTS!$C$60,"")</f>
        <v>Executive Producer</v>
      </c>
      <c r="C49" s="28" t="n">
        <f aca="false">IF(3&lt;=INPUTS!$C$27,INPUTS!$C$37,"")</f>
        <v>100</v>
      </c>
      <c r="D49" s="29" t="n">
        <f aca="false">IF(3&lt;=INPUTS!$C$27,(INPUTS!$C$18+INPUTS!$C$19)*INPUTS!$C$42+INPUTS!$C$20*INPUTS!$C$45,"")</f>
        <v>48</v>
      </c>
      <c r="E49" s="30" t="n">
        <f aca="false">IF(B49="","",C49*D49)</f>
        <v>4800</v>
      </c>
      <c r="F49" s="28" t="n">
        <f aca="false">IF(3&lt;=INPUTS!$C$27,INPUTS!$C$33,"")</f>
        <v>60</v>
      </c>
      <c r="G49" s="29" t="n">
        <f aca="false">IF(B49="","",D49)</f>
        <v>48</v>
      </c>
      <c r="H49" s="30" t="n">
        <f aca="false">IF(B49="","",F49*G49)</f>
        <v>2880</v>
      </c>
      <c r="I49" s="30" t="n">
        <f aca="false">IF(B49="","",E49-H49)</f>
        <v>1920</v>
      </c>
      <c r="J49" s="31" t="n">
        <f aca="false">IF(OR(B49="",E49=0),"",I49/E49)</f>
        <v>0.4</v>
      </c>
    </row>
    <row r="50" customFormat="false" ht="15" hidden="false" customHeight="false" outlineLevel="0" collapsed="false">
      <c r="A50" s="26" t="str">
        <f aca="false">IF(4&lt;=INPUTS!$C$27,"PM","")</f>
        <v/>
      </c>
      <c r="B50" s="27" t="str">
        <f aca="false">IF(4&lt;=INPUTS!$C$27,INPUTS!$C$61,"")</f>
        <v/>
      </c>
      <c r="C50" s="28" t="str">
        <f aca="false">IF(4&lt;=INPUTS!$C$27,INPUTS!$C$37,"")</f>
        <v/>
      </c>
      <c r="D50" s="29" t="str">
        <f aca="false">IF(4&lt;=INPUTS!$C$27,(INPUTS!$C$18+INPUTS!$C$19)*INPUTS!$C$42+INPUTS!$C$20*INPUTS!$C$45,"")</f>
        <v/>
      </c>
      <c r="E50" s="30" t="str">
        <f aca="false">IF(B50="","",C50*D50)</f>
        <v/>
      </c>
      <c r="F50" s="28" t="str">
        <f aca="false">IF(4&lt;=INPUTS!$C$27,INPUTS!$C$33,"")</f>
        <v/>
      </c>
      <c r="G50" s="29" t="str">
        <f aca="false">IF(B50="","",D50)</f>
        <v/>
      </c>
      <c r="H50" s="30" t="str">
        <f aca="false">IF(B50="","",F50*G50)</f>
        <v/>
      </c>
      <c r="I50" s="30" t="str">
        <f aca="false">IF(B50="","",E50-H50)</f>
        <v/>
      </c>
      <c r="J50" s="31" t="str">
        <f aca="false">IF(OR(B50="",E50=0),"",I50/E50)</f>
        <v/>
      </c>
    </row>
    <row r="51" customFormat="false" ht="15" hidden="false" customHeight="false" outlineLevel="0" collapsed="false">
      <c r="A51" s="26" t="str">
        <f aca="false">IF(5&lt;=INPUTS!$C$27,"PM","")</f>
        <v/>
      </c>
      <c r="B51" s="27" t="str">
        <f aca="false">IF(5&lt;=INPUTS!$C$27,INPUTS!$C$62,"")</f>
        <v/>
      </c>
      <c r="C51" s="28" t="str">
        <f aca="false">IF(5&lt;=INPUTS!$C$27,INPUTS!$C$37,"")</f>
        <v/>
      </c>
      <c r="D51" s="29" t="str">
        <f aca="false">IF(5&lt;=INPUTS!$C$27,(INPUTS!$C$18+INPUTS!$C$19)*INPUTS!$C$42+INPUTS!$C$20*INPUTS!$C$45,"")</f>
        <v/>
      </c>
      <c r="E51" s="30" t="str">
        <f aca="false">IF(B51="","",C51*D51)</f>
        <v/>
      </c>
      <c r="F51" s="28" t="str">
        <f aca="false">IF(5&lt;=INPUTS!$C$27,INPUTS!$C$33,"")</f>
        <v/>
      </c>
      <c r="G51" s="29" t="str">
        <f aca="false">IF(B51="","",D51)</f>
        <v/>
      </c>
      <c r="H51" s="30" t="str">
        <f aca="false">IF(B51="","",F51*G51)</f>
        <v/>
      </c>
      <c r="I51" s="30" t="str">
        <f aca="false">IF(B51="","",E51-H51)</f>
        <v/>
      </c>
      <c r="J51" s="31" t="str">
        <f aca="false">IF(OR(B51="",E51=0),"",I51/E51)</f>
        <v/>
      </c>
    </row>
    <row r="52" customFormat="false" ht="15" hidden="false" customHeight="false" outlineLevel="0" collapsed="false">
      <c r="A52" s="26" t="str">
        <f aca="false">IF(6&lt;=INPUTS!$C$27,"PM","")</f>
        <v/>
      </c>
      <c r="B52" s="27" t="str">
        <f aca="false">IF(6&lt;=INPUTS!$C$27,INPUTS!$C$63,"")</f>
        <v/>
      </c>
      <c r="C52" s="28" t="str">
        <f aca="false">IF(6&lt;=INPUTS!$C$27,INPUTS!$C$37,"")</f>
        <v/>
      </c>
      <c r="D52" s="29" t="str">
        <f aca="false">IF(6&lt;=INPUTS!$C$27,(INPUTS!$C$18+INPUTS!$C$19)*INPUTS!$C$42+INPUTS!$C$20*INPUTS!$C$45,"")</f>
        <v/>
      </c>
      <c r="E52" s="30" t="str">
        <f aca="false">IF(B52="","",C52*D52)</f>
        <v/>
      </c>
      <c r="F52" s="28" t="str">
        <f aca="false">IF(6&lt;=INPUTS!$C$27,INPUTS!$C$33,"")</f>
        <v/>
      </c>
      <c r="G52" s="29" t="str">
        <f aca="false">IF(B52="","",D52)</f>
        <v/>
      </c>
      <c r="H52" s="30" t="str">
        <f aca="false">IF(B52="","",F52*G52)</f>
        <v/>
      </c>
      <c r="I52" s="30" t="str">
        <f aca="false">IF(B52="","",E52-H52)</f>
        <v/>
      </c>
      <c r="J52" s="31" t="str">
        <f aca="false">IF(OR(B52="",E52=0),"",I52/E52)</f>
        <v/>
      </c>
    </row>
    <row r="53" customFormat="false" ht="15" hidden="false" customHeight="false" outlineLevel="0" collapsed="false">
      <c r="A53" s="26" t="str">
        <f aca="false">IF(7&lt;=INPUTS!$C$27,"PM","")</f>
        <v/>
      </c>
      <c r="B53" s="27" t="str">
        <f aca="false">IF(7&lt;=INPUTS!$C$27,INPUTS!$C$64,"")</f>
        <v/>
      </c>
      <c r="C53" s="28" t="str">
        <f aca="false">IF(7&lt;=INPUTS!$C$27,INPUTS!$C$37,"")</f>
        <v/>
      </c>
      <c r="D53" s="29" t="str">
        <f aca="false">IF(7&lt;=INPUTS!$C$27,(INPUTS!$C$18+INPUTS!$C$19)*INPUTS!$C$42+INPUTS!$C$20*INPUTS!$C$45,"")</f>
        <v/>
      </c>
      <c r="E53" s="30" t="str">
        <f aca="false">IF(B53="","",C53*D53)</f>
        <v/>
      </c>
      <c r="F53" s="28" t="str">
        <f aca="false">IF(7&lt;=INPUTS!$C$27,INPUTS!$C$33,"")</f>
        <v/>
      </c>
      <c r="G53" s="29" t="str">
        <f aca="false">IF(B53="","",D53)</f>
        <v/>
      </c>
      <c r="H53" s="30" t="str">
        <f aca="false">IF(B53="","",F53*G53)</f>
        <v/>
      </c>
      <c r="I53" s="30" t="str">
        <f aca="false">IF(B53="","",E53-H53)</f>
        <v/>
      </c>
      <c r="J53" s="31" t="str">
        <f aca="false">IF(OR(B53="",E53=0),"",I53/E53)</f>
        <v/>
      </c>
    </row>
    <row r="54" customFormat="false" ht="15" hidden="false" customHeight="false" outlineLevel="0" collapsed="false">
      <c r="A54" s="26" t="str">
        <f aca="false">IF(8&lt;=INPUTS!$C$27,"PM","")</f>
        <v/>
      </c>
      <c r="B54" s="27" t="str">
        <f aca="false">IF(8&lt;=INPUTS!$C$27,INPUTS!$C$65,"")</f>
        <v/>
      </c>
      <c r="C54" s="28" t="str">
        <f aca="false">IF(8&lt;=INPUTS!$C$27,INPUTS!$C$37,"")</f>
        <v/>
      </c>
      <c r="D54" s="29" t="str">
        <f aca="false">IF(8&lt;=INPUTS!$C$27,(INPUTS!$C$18+INPUTS!$C$19)*INPUTS!$C$42+INPUTS!$C$20*INPUTS!$C$45,"")</f>
        <v/>
      </c>
      <c r="E54" s="30" t="str">
        <f aca="false">IF(B54="","",C54*D54)</f>
        <v/>
      </c>
      <c r="F54" s="28" t="str">
        <f aca="false">IF(8&lt;=INPUTS!$C$27,INPUTS!$C$33,"")</f>
        <v/>
      </c>
      <c r="G54" s="29" t="str">
        <f aca="false">IF(B54="","",D54)</f>
        <v/>
      </c>
      <c r="H54" s="30" t="str">
        <f aca="false">IF(B54="","",F54*G54)</f>
        <v/>
      </c>
      <c r="I54" s="30" t="str">
        <f aca="false">IF(B54="","",E54-H54)</f>
        <v/>
      </c>
      <c r="J54" s="31" t="str">
        <f aca="false">IF(OR(B54="",E54=0),"",I54/E54)</f>
        <v/>
      </c>
    </row>
    <row r="55" customFormat="false" ht="15" hidden="false" customHeight="false" outlineLevel="0" collapsed="false">
      <c r="A55" s="26" t="str">
        <f aca="false">IF(1&lt;=INPUTS!$C$28,"EC","")</f>
        <v>EC</v>
      </c>
      <c r="B55" s="27" t="str">
        <f aca="false">IF(1&lt;=INPUTS!$C$28,INPUTS!$C$69,"")</f>
        <v>Event Coordinator</v>
      </c>
      <c r="C55" s="28" t="n">
        <f aca="false">IF(1&lt;=INPUTS!$C$28,INPUTS!$C$38,"")</f>
        <v>65</v>
      </c>
      <c r="D55" s="29" t="n">
        <f aca="false">IF(1&lt;=INPUTS!$C$28,(INPUTS!$C$18+INPUTS!$C$19)*INPUTS!$C$43+INPUTS!$C$20*INPUTS!$C$45,"")</f>
        <v>32</v>
      </c>
      <c r="E55" s="30" t="n">
        <f aca="false">IF(B55="","",C55*D55)</f>
        <v>2080</v>
      </c>
      <c r="F55" s="28" t="n">
        <f aca="false">IF(1&lt;=INPUTS!$C$28,INPUTS!$C$34,"")</f>
        <v>42</v>
      </c>
      <c r="G55" s="29" t="n">
        <f aca="false">IF(B55="","",D55)</f>
        <v>32</v>
      </c>
      <c r="H55" s="30" t="n">
        <f aca="false">IF(B55="","",F55*G55)</f>
        <v>1344</v>
      </c>
      <c r="I55" s="30" t="n">
        <f aca="false">IF(B55="","",E55-H55)</f>
        <v>736</v>
      </c>
      <c r="J55" s="31" t="n">
        <f aca="false">IF(OR(B55="",E55=0),"",I55/E55)</f>
        <v>0.353846153846154</v>
      </c>
    </row>
    <row r="56" customFormat="false" ht="15" hidden="false" customHeight="false" outlineLevel="0" collapsed="false">
      <c r="A56" s="26" t="str">
        <f aca="false">IF(2&lt;=INPUTS!$C$28,"EC","")</f>
        <v>EC</v>
      </c>
      <c r="B56" s="27" t="str">
        <f aca="false">IF(2&lt;=INPUTS!$C$28,INPUTS!$C$70,"")</f>
        <v>Registration Coordinator</v>
      </c>
      <c r="C56" s="28" t="n">
        <f aca="false">IF(2&lt;=INPUTS!$C$28,INPUTS!$C$38,"")</f>
        <v>65</v>
      </c>
      <c r="D56" s="29" t="n">
        <f aca="false">IF(2&lt;=INPUTS!$C$28,(INPUTS!$C$18+INPUTS!$C$19)*INPUTS!$C$43+INPUTS!$C$20*INPUTS!$C$45,"")</f>
        <v>32</v>
      </c>
      <c r="E56" s="30" t="n">
        <f aca="false">IF(B56="","",C56*D56)</f>
        <v>2080</v>
      </c>
      <c r="F56" s="28" t="n">
        <f aca="false">IF(2&lt;=INPUTS!$C$28,INPUTS!$C$34,"")</f>
        <v>42</v>
      </c>
      <c r="G56" s="29" t="n">
        <f aca="false">IF(B56="","",D56)</f>
        <v>32</v>
      </c>
      <c r="H56" s="30" t="n">
        <f aca="false">IF(B56="","",F56*G56)</f>
        <v>1344</v>
      </c>
      <c r="I56" s="30" t="n">
        <f aca="false">IF(B56="","",E56-H56)</f>
        <v>736</v>
      </c>
      <c r="J56" s="31" t="n">
        <f aca="false">IF(OR(B56="",E56=0),"",I56/E56)</f>
        <v>0.353846153846154</v>
      </c>
    </row>
    <row r="57" customFormat="false" ht="15" hidden="false" customHeight="false" outlineLevel="0" collapsed="false">
      <c r="A57" s="26" t="str">
        <f aca="false">IF(3&lt;=INPUTS!$C$28,"EC","")</f>
        <v/>
      </c>
      <c r="B57" s="27" t="str">
        <f aca="false">IF(3&lt;=INPUTS!$C$28,INPUTS!$C$71,"")</f>
        <v/>
      </c>
      <c r="C57" s="28" t="str">
        <f aca="false">IF(3&lt;=INPUTS!$C$28,INPUTS!$C$38,"")</f>
        <v/>
      </c>
      <c r="D57" s="29" t="str">
        <f aca="false">IF(3&lt;=INPUTS!$C$28,(INPUTS!$C$18+INPUTS!$C$19)*INPUTS!$C$43+INPUTS!$C$20*INPUTS!$C$45,"")</f>
        <v/>
      </c>
      <c r="E57" s="30" t="str">
        <f aca="false">IF(B57="","",C57*D57)</f>
        <v/>
      </c>
      <c r="F57" s="28" t="str">
        <f aca="false">IF(3&lt;=INPUTS!$C$28,INPUTS!$C$34,"")</f>
        <v/>
      </c>
      <c r="G57" s="29" t="str">
        <f aca="false">IF(B57="","",D57)</f>
        <v/>
      </c>
      <c r="H57" s="30" t="str">
        <f aca="false">IF(B57="","",F57*G57)</f>
        <v/>
      </c>
      <c r="I57" s="30" t="str">
        <f aca="false">IF(B57="","",E57-H57)</f>
        <v/>
      </c>
      <c r="J57" s="31" t="str">
        <f aca="false">IF(OR(B57="",E57=0),"",I57/E57)</f>
        <v/>
      </c>
    </row>
    <row r="58" customFormat="false" ht="15" hidden="false" customHeight="false" outlineLevel="0" collapsed="false">
      <c r="A58" s="26" t="str">
        <f aca="false">IF(4&lt;=INPUTS!$C$28,"EC","")</f>
        <v/>
      </c>
      <c r="B58" s="27" t="str">
        <f aca="false">IF(4&lt;=INPUTS!$C$28,INPUTS!$C$72,"")</f>
        <v/>
      </c>
      <c r="C58" s="28" t="str">
        <f aca="false">IF(4&lt;=INPUTS!$C$28,INPUTS!$C$38,"")</f>
        <v/>
      </c>
      <c r="D58" s="29" t="str">
        <f aca="false">IF(4&lt;=INPUTS!$C$28,(INPUTS!$C$18+INPUTS!$C$19)*INPUTS!$C$43+INPUTS!$C$20*INPUTS!$C$45,"")</f>
        <v/>
      </c>
      <c r="E58" s="30" t="str">
        <f aca="false">IF(B58="","",C58*D58)</f>
        <v/>
      </c>
      <c r="F58" s="28" t="str">
        <f aca="false">IF(4&lt;=INPUTS!$C$28,INPUTS!$C$34,"")</f>
        <v/>
      </c>
      <c r="G58" s="29" t="str">
        <f aca="false">IF(B58="","",D58)</f>
        <v/>
      </c>
      <c r="H58" s="30" t="str">
        <f aca="false">IF(B58="","",F58*G58)</f>
        <v/>
      </c>
      <c r="I58" s="30" t="str">
        <f aca="false">IF(B58="","",E58-H58)</f>
        <v/>
      </c>
      <c r="J58" s="31" t="str">
        <f aca="false">IF(OR(B58="",E58=0),"",I58/E58)</f>
        <v/>
      </c>
    </row>
    <row r="59" customFormat="false" ht="15" hidden="false" customHeight="false" outlineLevel="0" collapsed="false">
      <c r="A59" s="26" t="str">
        <f aca="false">IF(5&lt;=INPUTS!$C$28,"EC","")</f>
        <v/>
      </c>
      <c r="B59" s="27" t="str">
        <f aca="false">IF(5&lt;=INPUTS!$C$28,INPUTS!$C$73,"")</f>
        <v/>
      </c>
      <c r="C59" s="28" t="str">
        <f aca="false">IF(5&lt;=INPUTS!$C$28,INPUTS!$C$38,"")</f>
        <v/>
      </c>
      <c r="D59" s="29" t="str">
        <f aca="false">IF(5&lt;=INPUTS!$C$28,(INPUTS!$C$18+INPUTS!$C$19)*INPUTS!$C$43+INPUTS!$C$20*INPUTS!$C$45,"")</f>
        <v/>
      </c>
      <c r="E59" s="30" t="str">
        <f aca="false">IF(B59="","",C59*D59)</f>
        <v/>
      </c>
      <c r="F59" s="28" t="str">
        <f aca="false">IF(5&lt;=INPUTS!$C$28,INPUTS!$C$34,"")</f>
        <v/>
      </c>
      <c r="G59" s="29" t="str">
        <f aca="false">IF(B59="","",D59)</f>
        <v/>
      </c>
      <c r="H59" s="30" t="str">
        <f aca="false">IF(B59="","",F59*G59)</f>
        <v/>
      </c>
      <c r="I59" s="30" t="str">
        <f aca="false">IF(B59="","",E59-H59)</f>
        <v/>
      </c>
      <c r="J59" s="31" t="str">
        <f aca="false">IF(OR(B59="",E59=0),"",I59/E59)</f>
        <v/>
      </c>
    </row>
    <row r="60" customFormat="false" ht="15" hidden="false" customHeight="false" outlineLevel="0" collapsed="false">
      <c r="A60" s="26" t="str">
        <f aca="false">IF(6&lt;=INPUTS!$C$28,"EC","")</f>
        <v/>
      </c>
      <c r="B60" s="27" t="str">
        <f aca="false">IF(6&lt;=INPUTS!$C$28,INPUTS!$C$74,"")</f>
        <v/>
      </c>
      <c r="C60" s="28" t="str">
        <f aca="false">IF(6&lt;=INPUTS!$C$28,INPUTS!$C$38,"")</f>
        <v/>
      </c>
      <c r="D60" s="29" t="str">
        <f aca="false">IF(6&lt;=INPUTS!$C$28,(INPUTS!$C$18+INPUTS!$C$19)*INPUTS!$C$43+INPUTS!$C$20*INPUTS!$C$45,"")</f>
        <v/>
      </c>
      <c r="E60" s="30" t="str">
        <f aca="false">IF(B60="","",C60*D60)</f>
        <v/>
      </c>
      <c r="F60" s="28" t="str">
        <f aca="false">IF(6&lt;=INPUTS!$C$28,INPUTS!$C$34,"")</f>
        <v/>
      </c>
      <c r="G60" s="29" t="str">
        <f aca="false">IF(B60="","",D60)</f>
        <v/>
      </c>
      <c r="H60" s="30" t="str">
        <f aca="false">IF(B60="","",F60*G60)</f>
        <v/>
      </c>
      <c r="I60" s="30" t="str">
        <f aca="false">IF(B60="","",E60-H60)</f>
        <v/>
      </c>
      <c r="J60" s="31" t="str">
        <f aca="false">IF(OR(B60="",E60=0),"",I60/E60)</f>
        <v/>
      </c>
    </row>
    <row r="61" customFormat="false" ht="15" hidden="false" customHeight="false" outlineLevel="0" collapsed="false">
      <c r="A61" s="26" t="str">
        <f aca="false">IF(7&lt;=INPUTS!$C$28,"EC","")</f>
        <v/>
      </c>
      <c r="B61" s="27" t="str">
        <f aca="false">IF(7&lt;=INPUTS!$C$28,INPUTS!$C$75,"")</f>
        <v/>
      </c>
      <c r="C61" s="28" t="str">
        <f aca="false">IF(7&lt;=INPUTS!$C$28,INPUTS!$C$38,"")</f>
        <v/>
      </c>
      <c r="D61" s="29" t="str">
        <f aca="false">IF(7&lt;=INPUTS!$C$28,(INPUTS!$C$18+INPUTS!$C$19)*INPUTS!$C$43+INPUTS!$C$20*INPUTS!$C$45,"")</f>
        <v/>
      </c>
      <c r="E61" s="30" t="str">
        <f aca="false">IF(B61="","",C61*D61)</f>
        <v/>
      </c>
      <c r="F61" s="28" t="str">
        <f aca="false">IF(7&lt;=INPUTS!$C$28,INPUTS!$C$34,"")</f>
        <v/>
      </c>
      <c r="G61" s="29" t="str">
        <f aca="false">IF(B61="","",D61)</f>
        <v/>
      </c>
      <c r="H61" s="30" t="str">
        <f aca="false">IF(B61="","",F61*G61)</f>
        <v/>
      </c>
      <c r="I61" s="30" t="str">
        <f aca="false">IF(B61="","",E61-H61)</f>
        <v/>
      </c>
      <c r="J61" s="31" t="str">
        <f aca="false">IF(OR(B61="",E61=0),"",I61/E61)</f>
        <v/>
      </c>
    </row>
    <row r="62" customFormat="false" ht="15" hidden="false" customHeight="false" outlineLevel="0" collapsed="false">
      <c r="A62" s="26" t="str">
        <f aca="false">IF(8&lt;=INPUTS!$C$28,"EC","")</f>
        <v/>
      </c>
      <c r="B62" s="27" t="str">
        <f aca="false">IF(8&lt;=INPUTS!$C$28,INPUTS!$C$76,"")</f>
        <v/>
      </c>
      <c r="C62" s="28" t="str">
        <f aca="false">IF(8&lt;=INPUTS!$C$28,INPUTS!$C$38,"")</f>
        <v/>
      </c>
      <c r="D62" s="29" t="str">
        <f aca="false">IF(8&lt;=INPUTS!$C$28,(INPUTS!$C$18+INPUTS!$C$19)*INPUTS!$C$43+INPUTS!$C$20*INPUTS!$C$45,"")</f>
        <v/>
      </c>
      <c r="E62" s="30" t="str">
        <f aca="false">IF(B62="","",C62*D62)</f>
        <v/>
      </c>
      <c r="F62" s="28" t="str">
        <f aca="false">IF(8&lt;=INPUTS!$C$28,INPUTS!$C$34,"")</f>
        <v/>
      </c>
      <c r="G62" s="29" t="str">
        <f aca="false">IF(B62="","",D62)</f>
        <v/>
      </c>
      <c r="H62" s="30" t="str">
        <f aca="false">IF(B62="","",F62*G62)</f>
        <v/>
      </c>
      <c r="I62" s="30" t="str">
        <f aca="false">IF(B62="","",E62-H62)</f>
        <v/>
      </c>
      <c r="J62" s="31" t="str">
        <f aca="false">IF(OR(B62="",E62=0),"",I62/E62)</f>
        <v/>
      </c>
    </row>
    <row r="63" customFormat="false" ht="15" hidden="false" customHeight="false" outlineLevel="0" collapsed="false">
      <c r="A63" s="26" t="str">
        <f aca="false">IF(INPUTS!$C$28=0,"","EC")</f>
        <v>EC</v>
      </c>
      <c r="B63" s="27" t="str">
        <f aca="false">IF(INPUTS!$C$28=0,"","Coordinator Overtime  ("&amp;TEXT(INPUTS!$C$28,"0")&amp;" x "&amp;TEXT(INPUTS!$C$44,"0")&amp;" hrs x "&amp;TEXT(INPUTS!$C$18+INPUTS!$C$19,"0")&amp;" days)")</f>
        <v>Coordinator Overtime  (2 x 2 hrs x 4 days)</v>
      </c>
      <c r="C63" s="28" t="n">
        <f aca="false">IF(INPUTS!$C$28=0,"",INPUTS!$C$38*INPUTS!$C$39)</f>
        <v>97.5</v>
      </c>
      <c r="D63" s="29" t="n">
        <f aca="false">IF(INPUTS!$C$28=0,"",INPUTS!$C$28*(INPUTS!$C$18+INPUTS!$C$19)*INPUTS!$C$44)</f>
        <v>16</v>
      </c>
      <c r="E63" s="30" t="n">
        <f aca="false">IF(B63="","",C63*D63)</f>
        <v>1560</v>
      </c>
      <c r="F63" s="28" t="n">
        <f aca="false">IF(INPUTS!$C$28=0,"",INPUTS!$C$34*INPUTS!$C$39)</f>
        <v>63</v>
      </c>
      <c r="G63" s="29" t="n">
        <f aca="false">IF(B63="","",D63)</f>
        <v>16</v>
      </c>
      <c r="H63" s="30" t="n">
        <f aca="false">IF(B63="","",F63*G63)</f>
        <v>1008</v>
      </c>
      <c r="I63" s="30" t="n">
        <f aca="false">IF(B63="","",E63-H63)</f>
        <v>552</v>
      </c>
      <c r="J63" s="31" t="n">
        <f aca="false">IF(OR(B63="",E63=0),"",I63/E63)</f>
        <v>0.353846153846154</v>
      </c>
    </row>
    <row r="64" customFormat="false" ht="15" hidden="false" customHeight="false" outlineLevel="0" collapsed="false">
      <c r="A64" s="32"/>
      <c r="B64" s="33" t="s">
        <v>6</v>
      </c>
      <c r="C64" s="34"/>
      <c r="D64" s="35" t="n">
        <f aca="false">SUM(D47:D63)</f>
        <v>224</v>
      </c>
      <c r="E64" s="36" t="n">
        <f aca="false">SUM(E47:E63)</f>
        <v>20120</v>
      </c>
      <c r="F64" s="34"/>
      <c r="G64" s="35" t="n">
        <f aca="false">SUM(G47:G63)</f>
        <v>224</v>
      </c>
      <c r="H64" s="36" t="n">
        <f aca="false">SUM(H47:H63)</f>
        <v>12336</v>
      </c>
      <c r="I64" s="36" t="n">
        <f aca="false">SUM(I47:I63)</f>
        <v>7784</v>
      </c>
      <c r="J64" s="37" t="n">
        <f aca="false">IF(E64=0,"",I64/E64)</f>
        <v>0.386878727634195</v>
      </c>
    </row>
    <row r="65" customFormat="false" ht="15" hidden="false" customHeight="false" outlineLevel="0" collapsed="false">
      <c r="B65" s="38" t="str">
        <f aca="false">IF(OR(INPUTS!$C$27&gt;8,INPUTS!$C$28&gt;8),"WARNING: more than 8 managers or coordinators — the extra people are NOT costed above.","")</f>
        <v/>
      </c>
    </row>
    <row r="67" customFormat="false" ht="19.5" hidden="false" customHeight="true" outlineLevel="0" collapsed="false">
      <c r="B67" s="3" t="s">
        <v>28</v>
      </c>
      <c r="C67" s="3"/>
      <c r="D67" s="3"/>
      <c r="E67" s="3"/>
    </row>
    <row r="68" customFormat="false" ht="15" hidden="false" customHeight="false" outlineLevel="0" collapsed="false">
      <c r="B68" s="14" t="s">
        <v>1</v>
      </c>
      <c r="C68" s="14" t="s">
        <v>29</v>
      </c>
      <c r="D68" s="14" t="s">
        <v>30</v>
      </c>
      <c r="E68" s="14" t="s">
        <v>31</v>
      </c>
    </row>
    <row r="69" customFormat="false" ht="15" hidden="false" customHeight="false" outlineLevel="0" collapsed="false">
      <c r="B69" s="5" t="s">
        <v>32</v>
      </c>
      <c r="C69" s="15" t="n">
        <f aca="false">D43</f>
        <v>568</v>
      </c>
      <c r="D69" s="16" t="n">
        <f aca="false">INPUTS!$C$48</f>
        <v>0.61</v>
      </c>
      <c r="E69" s="6" t="n">
        <f aca="false">C69*D69</f>
        <v>346.48</v>
      </c>
    </row>
    <row r="70" customFormat="false" ht="15" hidden="false" customHeight="false" outlineLevel="0" collapsed="false">
      <c r="B70" s="5" t="s">
        <v>33</v>
      </c>
      <c r="C70" s="15" t="n">
        <f aca="false">D64</f>
        <v>224</v>
      </c>
      <c r="D70" s="16" t="n">
        <f aca="false">INPUTS!$C$48</f>
        <v>0.61</v>
      </c>
      <c r="E70" s="6" t="n">
        <f aca="false">C70*D70</f>
        <v>136.64</v>
      </c>
    </row>
    <row r="71" customFormat="false" ht="15" hidden="false" customHeight="false" outlineLevel="0" collapsed="false">
      <c r="B71" s="20" t="s">
        <v>34</v>
      </c>
      <c r="C71" s="21" t="n">
        <f aca="false">SUM(C69:C70)</f>
        <v>792</v>
      </c>
      <c r="D71" s="22"/>
      <c r="E71" s="23" t="n">
        <f aca="false">SUM(E69:E70)</f>
        <v>483.12</v>
      </c>
    </row>
    <row r="73" customFormat="false" ht="15" hidden="false" customHeight="false" outlineLevel="0" collapsed="false">
      <c r="B73" s="25" t="s">
        <v>35</v>
      </c>
    </row>
  </sheetData>
  <conditionalFormatting sqref="A23:J42">
    <cfRule type="expression" priority="2" aboveAverage="0" equalAverage="0" bottom="0" percent="0" rank="0" text="" dxfId="0">
      <formula>$B23=""</formula>
    </cfRule>
  </conditionalFormatting>
  <conditionalFormatting sqref="A47:J62">
    <cfRule type="expression" priority="3" aboveAverage="0" equalAverage="0" bottom="0" percent="0" rank="0" text="" dxfId="0">
      <formula>$B47=""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2" min="2" style="0" width="44"/>
    <col collapsed="false" customWidth="true" hidden="false" outlineLevel="0" max="3" min="3" style="0" width="15"/>
    <col collapsed="false" customWidth="true" hidden="false" outlineLevel="0" max="4" min="4" style="0" width="66"/>
  </cols>
  <sheetData>
    <row r="1" customFormat="false" ht="24" hidden="false" customHeight="true" outlineLevel="0" collapsed="false">
      <c r="B1" s="1" t="s">
        <v>36</v>
      </c>
      <c r="C1" s="1"/>
      <c r="D1" s="1"/>
    </row>
    <row r="2" customFormat="false" ht="15" hidden="false" customHeight="false" outlineLevel="0" collapsed="false">
      <c r="B2" s="25" t="s">
        <v>37</v>
      </c>
    </row>
    <row r="4" customFormat="false" ht="19.5" hidden="false" customHeight="true" outlineLevel="0" collapsed="false">
      <c r="B4" s="3" t="s">
        <v>38</v>
      </c>
      <c r="C4" s="3"/>
      <c r="D4" s="3"/>
    </row>
    <row r="5" customFormat="false" ht="15" hidden="false" customHeight="false" outlineLevel="0" collapsed="false">
      <c r="B5" s="39" t="s">
        <v>39</v>
      </c>
      <c r="C5" s="40" t="s">
        <v>40</v>
      </c>
    </row>
    <row r="6" customFormat="false" ht="15" hidden="false" customHeight="false" outlineLevel="0" collapsed="false">
      <c r="B6" s="39" t="s">
        <v>41</v>
      </c>
      <c r="C6" s="40" t="s">
        <v>42</v>
      </c>
    </row>
    <row r="7" customFormat="false" ht="15" hidden="false" customHeight="false" outlineLevel="0" collapsed="false">
      <c r="B7" s="39" t="s">
        <v>43</v>
      </c>
      <c r="C7" s="40" t="s">
        <v>44</v>
      </c>
    </row>
    <row r="9" customFormat="false" ht="19.5" hidden="false" customHeight="true" outlineLevel="0" collapsed="false">
      <c r="B9" s="3" t="s">
        <v>45</v>
      </c>
      <c r="C9" s="3"/>
      <c r="D9" s="3"/>
    </row>
    <row r="10" customFormat="false" ht="15" hidden="false" customHeight="false" outlineLevel="0" collapsed="false">
      <c r="B10" s="39" t="s">
        <v>46</v>
      </c>
      <c r="C10" s="41" t="n">
        <v>500</v>
      </c>
      <c r="D10" s="25" t="s">
        <v>47</v>
      </c>
    </row>
    <row r="11" customFormat="false" ht="15" hidden="false" customHeight="false" outlineLevel="0" collapsed="false">
      <c r="B11" s="39" t="s">
        <v>48</v>
      </c>
      <c r="C11" s="41" t="n">
        <v>60</v>
      </c>
      <c r="D11" s="25" t="s">
        <v>49</v>
      </c>
    </row>
    <row r="12" customFormat="false" ht="15" hidden="false" customHeight="false" outlineLevel="0" collapsed="false">
      <c r="B12" s="39" t="s">
        <v>50</v>
      </c>
      <c r="C12" s="41" t="n">
        <v>20</v>
      </c>
      <c r="D12" s="25" t="s">
        <v>51</v>
      </c>
    </row>
    <row r="13" customFormat="false" ht="15" hidden="false" customHeight="false" outlineLevel="0" collapsed="false">
      <c r="B13" s="39" t="s">
        <v>52</v>
      </c>
      <c r="C13" s="41" t="n">
        <v>15</v>
      </c>
      <c r="D13" s="25" t="s">
        <v>53</v>
      </c>
    </row>
    <row r="14" customFormat="false" ht="15" hidden="false" customHeight="false" outlineLevel="0" collapsed="false">
      <c r="B14" s="39" t="s">
        <v>54</v>
      </c>
      <c r="C14" s="41" t="n">
        <v>5</v>
      </c>
      <c r="D14" s="25" t="s">
        <v>55</v>
      </c>
    </row>
    <row r="15" customFormat="false" ht="15" hidden="false" customHeight="false" outlineLevel="0" collapsed="false">
      <c r="B15" s="39" t="s">
        <v>56</v>
      </c>
      <c r="C15" s="41" t="n">
        <v>1</v>
      </c>
      <c r="D15" s="25" t="s">
        <v>57</v>
      </c>
    </row>
    <row r="17" customFormat="false" ht="19.5" hidden="false" customHeight="true" outlineLevel="0" collapsed="false">
      <c r="B17" s="3" t="s">
        <v>58</v>
      </c>
      <c r="C17" s="3"/>
      <c r="D17" s="3"/>
    </row>
    <row r="18" customFormat="false" ht="15" hidden="false" customHeight="false" outlineLevel="0" collapsed="false">
      <c r="B18" s="39" t="s">
        <v>59</v>
      </c>
      <c r="C18" s="41" t="n">
        <v>3</v>
      </c>
    </row>
    <row r="19" customFormat="false" ht="15" hidden="false" customHeight="false" outlineLevel="0" collapsed="false">
      <c r="B19" s="39" t="s">
        <v>60</v>
      </c>
      <c r="C19" s="41" t="n">
        <v>1</v>
      </c>
    </row>
    <row r="20" customFormat="false" ht="15" hidden="false" customHeight="false" outlineLevel="0" collapsed="false">
      <c r="B20" s="39" t="s">
        <v>61</v>
      </c>
      <c r="C20" s="41" t="n">
        <v>0</v>
      </c>
    </row>
    <row r="21" customFormat="false" ht="15" hidden="false" customHeight="false" outlineLevel="0" collapsed="false">
      <c r="B21" s="42" t="s">
        <v>62</v>
      </c>
      <c r="C21" s="43" t="n">
        <f aca="false">C18+C19+C20</f>
        <v>4</v>
      </c>
    </row>
    <row r="22" customFormat="false" ht="15" hidden="false" customHeight="false" outlineLevel="0" collapsed="false">
      <c r="B22" s="39" t="s">
        <v>63</v>
      </c>
      <c r="C22" s="41" t="n">
        <v>9</v>
      </c>
      <c r="D22" s="25" t="s">
        <v>64</v>
      </c>
    </row>
    <row r="23" customFormat="false" ht="15" hidden="false" customHeight="false" outlineLevel="0" collapsed="false">
      <c r="B23" s="42" t="s">
        <v>65</v>
      </c>
      <c r="C23" s="43" t="n">
        <f aca="false">ROUND(C22*4.33,0)</f>
        <v>39</v>
      </c>
      <c r="D23" s="25" t="s">
        <v>66</v>
      </c>
    </row>
    <row r="24" customFormat="false" ht="15" hidden="false" customHeight="false" outlineLevel="0" collapsed="false">
      <c r="B24" s="42" t="s">
        <v>67</v>
      </c>
      <c r="C24" s="44" t="n">
        <f aca="false">ROUND((MAX(1,C10)/250)^(1/3)*(MAX(1,C22)/6)^(1/2)*(MAX(1,C18)/3)^(1/4),2)</f>
        <v>1.54</v>
      </c>
      <c r="D24" s="25" t="s">
        <v>68</v>
      </c>
    </row>
    <row r="26" customFormat="false" ht="19.5" hidden="false" customHeight="true" outlineLevel="0" collapsed="false">
      <c r="B26" s="3" t="s">
        <v>69</v>
      </c>
      <c r="C26" s="3"/>
      <c r="D26" s="3"/>
    </row>
    <row r="27" customFormat="false" ht="15" hidden="false" customHeight="false" outlineLevel="0" collapsed="false">
      <c r="B27" s="39" t="s">
        <v>70</v>
      </c>
      <c r="C27" s="41" t="n">
        <v>3</v>
      </c>
      <c r="D27" s="25" t="s">
        <v>71</v>
      </c>
    </row>
    <row r="28" customFormat="false" ht="15" hidden="false" customHeight="false" outlineLevel="0" collapsed="false">
      <c r="B28" s="39" t="s">
        <v>72</v>
      </c>
      <c r="C28" s="41" t="n">
        <v>2</v>
      </c>
    </row>
    <row r="29" customFormat="false" ht="15" hidden="false" customHeight="false" outlineLevel="0" collapsed="false">
      <c r="B29" s="39" t="s">
        <v>73</v>
      </c>
      <c r="C29" s="41" t="n">
        <v>1</v>
      </c>
      <c r="D29" s="25" t="s">
        <v>74</v>
      </c>
    </row>
    <row r="30" customFormat="false" ht="15" hidden="false" customHeight="false" outlineLevel="0" collapsed="false">
      <c r="B30" s="39" t="s">
        <v>75</v>
      </c>
      <c r="C30" s="41" t="n">
        <v>1</v>
      </c>
    </row>
    <row r="32" customFormat="false" ht="19.5" hidden="false" customHeight="true" outlineLevel="0" collapsed="false">
      <c r="B32" s="3" t="s">
        <v>76</v>
      </c>
      <c r="C32" s="3"/>
      <c r="D32" s="3"/>
    </row>
    <row r="33" customFormat="false" ht="15" hidden="false" customHeight="false" outlineLevel="0" collapsed="false">
      <c r="B33" s="42" t="s">
        <v>77</v>
      </c>
      <c r="C33" s="45" t="n">
        <v>60</v>
      </c>
      <c r="D33" s="25" t="s">
        <v>78</v>
      </c>
    </row>
    <row r="34" customFormat="false" ht="15" hidden="false" customHeight="false" outlineLevel="0" collapsed="false">
      <c r="B34" s="42" t="s">
        <v>79</v>
      </c>
      <c r="C34" s="45" t="n">
        <v>42</v>
      </c>
      <c r="D34" s="25" t="s">
        <v>80</v>
      </c>
    </row>
    <row r="35" customFormat="false" ht="15" hidden="false" customHeight="false" outlineLevel="0" collapsed="false">
      <c r="B35" s="39" t="s">
        <v>81</v>
      </c>
      <c r="C35" s="45" t="n">
        <v>90</v>
      </c>
    </row>
    <row r="36" customFormat="false" ht="15" hidden="false" customHeight="false" outlineLevel="0" collapsed="false">
      <c r="B36" s="39" t="s">
        <v>82</v>
      </c>
      <c r="C36" s="45" t="n">
        <v>65</v>
      </c>
    </row>
    <row r="37" customFormat="false" ht="15" hidden="false" customHeight="false" outlineLevel="0" collapsed="false">
      <c r="B37" s="39" t="s">
        <v>83</v>
      </c>
      <c r="C37" s="45" t="n">
        <v>100</v>
      </c>
    </row>
    <row r="38" customFormat="false" ht="15" hidden="false" customHeight="false" outlineLevel="0" collapsed="false">
      <c r="B38" s="39" t="s">
        <v>84</v>
      </c>
      <c r="C38" s="45" t="n">
        <v>65</v>
      </c>
    </row>
    <row r="39" customFormat="false" ht="15" hidden="false" customHeight="false" outlineLevel="0" collapsed="false">
      <c r="B39" s="39" t="s">
        <v>85</v>
      </c>
      <c r="C39" s="46" t="n">
        <v>1.5</v>
      </c>
      <c r="D39" s="25" t="s">
        <v>86</v>
      </c>
    </row>
    <row r="41" customFormat="false" ht="19.5" hidden="false" customHeight="true" outlineLevel="0" collapsed="false">
      <c r="B41" s="3" t="s">
        <v>87</v>
      </c>
      <c r="C41" s="3"/>
      <c r="D41" s="3"/>
    </row>
    <row r="42" customFormat="false" ht="15" hidden="false" customHeight="false" outlineLevel="0" collapsed="false">
      <c r="B42" s="39" t="s">
        <v>88</v>
      </c>
      <c r="C42" s="41" t="n">
        <v>12</v>
      </c>
      <c r="D42" s="25" t="s">
        <v>89</v>
      </c>
    </row>
    <row r="43" customFormat="false" ht="15" hidden="false" customHeight="false" outlineLevel="0" collapsed="false">
      <c r="B43" s="39" t="s">
        <v>90</v>
      </c>
      <c r="C43" s="41" t="n">
        <v>8</v>
      </c>
      <c r="D43" s="25" t="s">
        <v>91</v>
      </c>
    </row>
    <row r="44" customFormat="false" ht="15" hidden="false" customHeight="false" outlineLevel="0" collapsed="false">
      <c r="B44" s="39" t="s">
        <v>92</v>
      </c>
      <c r="C44" s="41" t="n">
        <v>2</v>
      </c>
    </row>
    <row r="45" customFormat="false" ht="15" hidden="false" customHeight="false" outlineLevel="0" collapsed="false">
      <c r="B45" s="39" t="s">
        <v>93</v>
      </c>
      <c r="C45" s="41" t="n">
        <v>8</v>
      </c>
    </row>
    <row r="47" customFormat="false" ht="19.5" hidden="false" customHeight="true" outlineLevel="0" collapsed="false">
      <c r="B47" s="3" t="s">
        <v>94</v>
      </c>
      <c r="C47" s="3"/>
      <c r="D47" s="3"/>
    </row>
    <row r="48" customFormat="false" ht="15" hidden="false" customHeight="false" outlineLevel="0" collapsed="false">
      <c r="B48" s="42" t="s">
        <v>95</v>
      </c>
      <c r="C48" s="45" t="n">
        <v>0.61</v>
      </c>
      <c r="D48" s="25" t="s">
        <v>96</v>
      </c>
    </row>
    <row r="49" customFormat="false" ht="15" hidden="false" customHeight="false" outlineLevel="0" collapsed="false">
      <c r="B49" s="42" t="s">
        <v>97</v>
      </c>
      <c r="C49" s="47" t="n">
        <v>0.02</v>
      </c>
      <c r="D49" s="25" t="s">
        <v>98</v>
      </c>
    </row>
    <row r="50" customFormat="false" ht="15" hidden="false" customHeight="false" outlineLevel="0" collapsed="false">
      <c r="B50" s="39" t="s">
        <v>99</v>
      </c>
      <c r="C50" s="47" t="n">
        <v>0.05</v>
      </c>
      <c r="D50" s="25" t="s">
        <v>100</v>
      </c>
    </row>
    <row r="51" customFormat="false" ht="15" hidden="false" customHeight="false" outlineLevel="0" collapsed="false">
      <c r="B51" s="39" t="s">
        <v>101</v>
      </c>
      <c r="C51" s="40" t="s">
        <v>102</v>
      </c>
    </row>
    <row r="52" customFormat="false" ht="15" hidden="false" customHeight="false" outlineLevel="0" collapsed="false">
      <c r="B52" s="42" t="s">
        <v>103</v>
      </c>
      <c r="C52" s="47" t="n">
        <v>0.4</v>
      </c>
      <c r="D52" s="25" t="s">
        <v>104</v>
      </c>
    </row>
    <row r="53" customFormat="false" ht="15" hidden="false" customHeight="false" outlineLevel="0" collapsed="false">
      <c r="B53" s="42" t="s">
        <v>105</v>
      </c>
      <c r="C53" s="47" t="n">
        <v>1</v>
      </c>
      <c r="D53" s="25" t="s">
        <v>106</v>
      </c>
    </row>
    <row r="54" customFormat="false" ht="15" hidden="false" customHeight="false" outlineLevel="0" collapsed="false">
      <c r="B54" s="42" t="s">
        <v>107</v>
      </c>
      <c r="C54" s="47" t="n">
        <v>0</v>
      </c>
      <c r="D54" s="25" t="s">
        <v>108</v>
      </c>
    </row>
    <row r="56" customFormat="false" ht="19.5" hidden="false" customHeight="true" outlineLevel="0" collapsed="false">
      <c r="B56" s="3" t="s">
        <v>109</v>
      </c>
      <c r="C56" s="3"/>
      <c r="D56" s="3"/>
    </row>
    <row r="57" customFormat="false" ht="15" hidden="false" customHeight="false" outlineLevel="0" collapsed="false">
      <c r="B57" s="42" t="s">
        <v>110</v>
      </c>
      <c r="D57" s="25" t="s">
        <v>111</v>
      </c>
    </row>
    <row r="58" customFormat="false" ht="15" hidden="false" customHeight="false" outlineLevel="0" collapsed="false">
      <c r="B58" s="39" t="s">
        <v>112</v>
      </c>
      <c r="C58" s="40" t="s">
        <v>113</v>
      </c>
    </row>
    <row r="59" customFormat="false" ht="15" hidden="false" customHeight="false" outlineLevel="0" collapsed="false">
      <c r="B59" s="39" t="s">
        <v>114</v>
      </c>
      <c r="C59" s="40" t="s">
        <v>115</v>
      </c>
    </row>
    <row r="60" customFormat="false" ht="15" hidden="false" customHeight="false" outlineLevel="0" collapsed="false">
      <c r="B60" s="39" t="s">
        <v>116</v>
      </c>
      <c r="C60" s="40" t="s">
        <v>117</v>
      </c>
    </row>
    <row r="61" customFormat="false" ht="15" hidden="false" customHeight="false" outlineLevel="0" collapsed="false">
      <c r="B61" s="39" t="s">
        <v>118</v>
      </c>
      <c r="C61" s="40" t="s">
        <v>119</v>
      </c>
    </row>
    <row r="62" customFormat="false" ht="15" hidden="false" customHeight="false" outlineLevel="0" collapsed="false">
      <c r="B62" s="39" t="s">
        <v>120</v>
      </c>
      <c r="C62" s="40" t="s">
        <v>121</v>
      </c>
    </row>
    <row r="63" customFormat="false" ht="15" hidden="false" customHeight="false" outlineLevel="0" collapsed="false">
      <c r="B63" s="39" t="s">
        <v>122</v>
      </c>
      <c r="C63" s="40" t="s">
        <v>123</v>
      </c>
    </row>
    <row r="64" customFormat="false" ht="15" hidden="false" customHeight="false" outlineLevel="0" collapsed="false">
      <c r="B64" s="39" t="s">
        <v>124</v>
      </c>
      <c r="C64" s="40" t="s">
        <v>125</v>
      </c>
    </row>
    <row r="65" customFormat="false" ht="15" hidden="false" customHeight="false" outlineLevel="0" collapsed="false">
      <c r="B65" s="39" t="s">
        <v>126</v>
      </c>
      <c r="C65" s="40" t="s">
        <v>127</v>
      </c>
    </row>
    <row r="66" customFormat="false" ht="15" hidden="false" customHeight="false" outlineLevel="0" collapsed="false">
      <c r="B66" s="39" t="s">
        <v>128</v>
      </c>
      <c r="C66" s="40" t="s">
        <v>129</v>
      </c>
    </row>
    <row r="67" customFormat="false" ht="15" hidden="false" customHeight="false" outlineLevel="0" collapsed="false">
      <c r="B67" s="39" t="s">
        <v>130</v>
      </c>
      <c r="C67" s="40" t="s">
        <v>131</v>
      </c>
    </row>
    <row r="68" customFormat="false" ht="15" hidden="false" customHeight="false" outlineLevel="0" collapsed="false">
      <c r="B68" s="42" t="s">
        <v>132</v>
      </c>
    </row>
    <row r="69" customFormat="false" ht="15" hidden="false" customHeight="false" outlineLevel="0" collapsed="false">
      <c r="B69" s="39" t="s">
        <v>133</v>
      </c>
      <c r="C69" s="40" t="s">
        <v>134</v>
      </c>
    </row>
    <row r="70" customFormat="false" ht="15" hidden="false" customHeight="false" outlineLevel="0" collapsed="false">
      <c r="B70" s="39" t="s">
        <v>135</v>
      </c>
      <c r="C70" s="40" t="s">
        <v>136</v>
      </c>
    </row>
    <row r="71" customFormat="false" ht="15" hidden="false" customHeight="false" outlineLevel="0" collapsed="false">
      <c r="B71" s="39" t="s">
        <v>137</v>
      </c>
      <c r="C71" s="40" t="s">
        <v>138</v>
      </c>
    </row>
    <row r="72" customFormat="false" ht="15" hidden="false" customHeight="false" outlineLevel="0" collapsed="false">
      <c r="B72" s="39" t="s">
        <v>139</v>
      </c>
      <c r="C72" s="40" t="s">
        <v>140</v>
      </c>
    </row>
    <row r="73" customFormat="false" ht="15" hidden="false" customHeight="false" outlineLevel="0" collapsed="false">
      <c r="B73" s="39" t="s">
        <v>141</v>
      </c>
      <c r="C73" s="40" t="s">
        <v>142</v>
      </c>
    </row>
    <row r="74" customFormat="false" ht="15" hidden="false" customHeight="false" outlineLevel="0" collapsed="false">
      <c r="B74" s="39" t="s">
        <v>143</v>
      </c>
      <c r="C74" s="40" t="s">
        <v>144</v>
      </c>
    </row>
    <row r="75" customFormat="false" ht="15" hidden="false" customHeight="false" outlineLevel="0" collapsed="false">
      <c r="B75" s="39" t="s">
        <v>145</v>
      </c>
      <c r="C75" s="40" t="s">
        <v>146</v>
      </c>
    </row>
    <row r="76" customFormat="false" ht="15" hidden="false" customHeight="false" outlineLevel="0" collapsed="false">
      <c r="B76" s="39" t="s">
        <v>147</v>
      </c>
      <c r="C76" s="40" t="s">
        <v>148</v>
      </c>
    </row>
    <row r="77" customFormat="false" ht="15" hidden="false" customHeight="false" outlineLevel="0" collapsed="false">
      <c r="B77" s="39" t="s">
        <v>149</v>
      </c>
      <c r="C77" s="40" t="s">
        <v>150</v>
      </c>
    </row>
    <row r="78" customFormat="false" ht="15" hidden="false" customHeight="false" outlineLevel="0" collapsed="false">
      <c r="B78" s="39" t="s">
        <v>151</v>
      </c>
      <c r="C78" s="40" t="s">
        <v>152</v>
      </c>
    </row>
  </sheetData>
  <dataValidations count="1">
    <dataValidation allowBlank="false" errorStyle="stop" operator="between" showDropDown="false" showErrorMessage="false" showInputMessage="false" sqref="C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58"/>
    <col collapsed="false" customWidth="true" hidden="false" outlineLevel="0" max="3" min="3" style="0" width="12"/>
    <col collapsed="false" customWidth="true" hidden="false" outlineLevel="0" max="4" min="4" style="0" width="10"/>
    <col collapsed="false" customWidth="true" hidden="false" outlineLevel="0" max="5" min="5" style="0" width="44"/>
    <col collapsed="false" customWidth="true" hidden="false" outlineLevel="0" max="6" min="6" style="0" width="9"/>
    <col collapsed="false" customWidth="true" hidden="false" outlineLevel="0" max="7" min="7" style="0" width="10"/>
    <col collapsed="false" customWidth="true" hidden="false" outlineLevel="0" max="8" min="8" style="0" width="9"/>
    <col collapsed="false" customWidth="true" hidden="false" outlineLevel="0" max="9" min="9" style="0" width="10"/>
    <col collapsed="false" customWidth="true" hidden="false" outlineLevel="0" max="10" min="10" style="0" width="9"/>
    <col collapsed="false" customWidth="true" hidden="false" outlineLevel="0" max="12" min="11" style="0" width="12"/>
    <col collapsed="false" customWidth="true" hidden="true" outlineLevel="0" max="13" min="13" style="0" width="3"/>
    <col collapsed="false" customWidth="true" hidden="false" outlineLevel="0" max="14" min="14" style="0" width="3"/>
    <col collapsed="false" customWidth="true" hidden="false" outlineLevel="0" max="15" min="15" style="0" width="34"/>
    <col collapsed="false" customWidth="true" hidden="false" outlineLevel="0" max="16" min="16" style="0" width="9"/>
    <col collapsed="false" customWidth="true" hidden="false" outlineLevel="0" max="18" min="17" style="0" width="13"/>
    <col collapsed="false" customWidth="true" hidden="false" outlineLevel="0" max="19" min="19" style="0" width="6"/>
    <col collapsed="false" customWidth="true" hidden="false" outlineLevel="0" max="20" min="20" style="0" width="8"/>
  </cols>
  <sheetData>
    <row r="1" customFormat="false" ht="24" hidden="false" customHeight="true" outlineLevel="0" collapsed="false">
      <c r="A1" s="1" t="s">
        <v>24</v>
      </c>
      <c r="B1" s="1"/>
      <c r="C1" s="1"/>
      <c r="D1" s="1"/>
      <c r="E1" s="1"/>
      <c r="F1" s="1"/>
      <c r="G1" s="1"/>
      <c r="H1" s="1"/>
      <c r="I1" s="1"/>
      <c r="J1" s="1"/>
      <c r="K1" s="1"/>
      <c r="L1" s="1"/>
      <c r="M1" s="1"/>
    </row>
    <row r="2" customFormat="false" ht="15" hidden="false" customHeight="false" outlineLevel="0" collapsed="false">
      <c r="B2" s="25" t="s">
        <v>153</v>
      </c>
    </row>
    <row r="3" customFormat="false" ht="19.5" hidden="false" customHeight="true" outlineLevel="0" collapsed="false">
      <c r="A3" s="14" t="s">
        <v>154</v>
      </c>
      <c r="B3" s="14" t="s">
        <v>24</v>
      </c>
      <c r="C3" s="14" t="s">
        <v>13</v>
      </c>
      <c r="D3" s="14" t="s">
        <v>155</v>
      </c>
      <c r="E3" s="14" t="s">
        <v>156</v>
      </c>
      <c r="F3" s="14" t="s">
        <v>157</v>
      </c>
      <c r="G3" s="14" t="s">
        <v>158</v>
      </c>
      <c r="H3" s="14" t="s">
        <v>159</v>
      </c>
      <c r="I3" s="14" t="s">
        <v>160</v>
      </c>
      <c r="J3" s="14" t="s">
        <v>161</v>
      </c>
      <c r="K3" s="14" t="s">
        <v>162</v>
      </c>
      <c r="L3" s="14" t="s">
        <v>163</v>
      </c>
      <c r="M3" s="14" t="s">
        <v>164</v>
      </c>
      <c r="O3" s="48" t="s">
        <v>164</v>
      </c>
      <c r="P3" s="48" t="s">
        <v>11</v>
      </c>
      <c r="Q3" s="48" t="s">
        <v>2</v>
      </c>
      <c r="R3" s="48" t="s">
        <v>3</v>
      </c>
      <c r="S3" s="48" t="s">
        <v>165</v>
      </c>
      <c r="T3" s="48" t="s">
        <v>13</v>
      </c>
    </row>
    <row r="4" customFormat="false" ht="16.5" hidden="false" customHeight="true" outlineLevel="0" collapsed="false">
      <c r="A4" s="49"/>
      <c r="B4" s="49" t="s">
        <v>166</v>
      </c>
      <c r="C4" s="49"/>
      <c r="D4" s="49"/>
      <c r="E4" s="49"/>
      <c r="F4" s="49"/>
      <c r="G4" s="49"/>
      <c r="H4" s="49"/>
      <c r="I4" s="49"/>
      <c r="J4" s="49"/>
      <c r="K4" s="49"/>
      <c r="L4" s="49"/>
      <c r="M4" s="49"/>
      <c r="O4" s="5" t="s">
        <v>166</v>
      </c>
      <c r="P4" s="15" t="n">
        <f aca="false">SUMIFS($H$4:$H$76,$M$4:$M$76,$O4,$D$4:$D$76,"Yes")</f>
        <v>125</v>
      </c>
      <c r="Q4" s="6" t="n">
        <f aca="false">SUMIF($M$4:$M$76,$O4,$K$4:$K$76)</f>
        <v>12810</v>
      </c>
      <c r="R4" s="6" t="n">
        <f aca="false">SUMIF($M$4:$M$76,$O4,$L$4:$L$76)</f>
        <v>8436</v>
      </c>
      <c r="S4" s="5" t="n">
        <f aca="false">IF(P4&gt;0,COUNTIF($P$4:P4,"&gt;0"),"")</f>
        <v>1</v>
      </c>
      <c r="T4" s="5" t="str">
        <f aca="false">IF(P4=0,"",IF(SUMIFS($H$4:$H$76,$M$4:$M$76,$O4,$D$4:$D$76,"Yes",$C$4:$C$76,"Manager")=P4,"PM",IF(SUMIFS($H$4:$H$76,$M$4:$M$76,$O4,$D$4:$D$76,"Yes",$C$4:$C$76,"Coordinator")=P4,"EC","PM/EC")))</f>
        <v>PM/EC</v>
      </c>
    </row>
    <row r="5" customFormat="false" ht="23.85" hidden="false" customHeight="false" outlineLevel="0" collapsed="false">
      <c r="A5" s="50" t="n">
        <v>1</v>
      </c>
      <c r="B5" s="27" t="s">
        <v>167</v>
      </c>
      <c r="C5" s="5" t="s">
        <v>168</v>
      </c>
      <c r="D5" s="51" t="s">
        <v>169</v>
      </c>
      <c r="E5" s="27" t="s">
        <v>170</v>
      </c>
      <c r="F5" s="15" t="n">
        <f aca="false">3*INPUTS!$C$23+ROUND(5*INPUTS!$C$24,0)</f>
        <v>125</v>
      </c>
      <c r="G5" s="41"/>
      <c r="H5" s="15" t="n">
        <f aca="false">IF(ISNUMBER(G5),G5,F5)</f>
        <v>125</v>
      </c>
      <c r="I5" s="16" t="n">
        <f aca="false">IF(H5=0,"",(INPUTS!$C$23*(INPUTS!$C$29*INPUTS!$C$35+INPUTS!$C$30*INPUTS!$C$36)+INPUTS!$C$23*INPUTS!$C$36+(INPUTS!$C$23+ROUND(5*INPUTS!$C$24,0))*INPUTS!$C$35)/H5)</f>
        <v>102.48</v>
      </c>
      <c r="J5" s="16" t="n">
        <f aca="false">IF(H5=0,"",(INPUTS!$C$23*(INPUTS!$C$29*INPUTS!$C$33+INPUTS!$C$30*INPUTS!$C$34)+INPUTS!$C$23*INPUTS!$C$34+(INPUTS!$C$23+ROUND(5*INPUTS!$C$24,0))*INPUTS!$C$33)/H5)</f>
        <v>67.488</v>
      </c>
      <c r="K5" s="6" t="n">
        <f aca="false">IF(D5="Yes",H5*I5,0)</f>
        <v>12810</v>
      </c>
      <c r="L5" s="6" t="n">
        <f aca="false">IF(D5="Yes",H5*J5,0)</f>
        <v>8436</v>
      </c>
      <c r="M5" s="5" t="s">
        <v>166</v>
      </c>
      <c r="O5" s="5" t="s">
        <v>171</v>
      </c>
      <c r="P5" s="15" t="n">
        <f aca="false">SUMIFS($H$4:$H$76,$M$4:$M$76,$O5,$D$4:$D$76,"Yes")</f>
        <v>0</v>
      </c>
      <c r="Q5" s="6" t="n">
        <f aca="false">SUMIF($M$4:$M$76,$O5,$K$4:$K$76)</f>
        <v>0</v>
      </c>
      <c r="R5" s="6" t="n">
        <f aca="false">SUMIF($M$4:$M$76,$O5,$L$4:$L$76)</f>
        <v>0</v>
      </c>
      <c r="S5" s="5" t="str">
        <f aca="false">IF(P5&gt;0,COUNTIF($P$4:P5,"&gt;0"),"")</f>
        <v/>
      </c>
      <c r="T5" s="5" t="str">
        <f aca="false">IF(P5=0,"",IF(SUMIFS($H$4:$H$76,$M$4:$M$76,$O5,$D$4:$D$76,"Yes",$C$4:$C$76,"Manager")=P5,"PM",IF(SUMIFS($H$4:$H$76,$M$4:$M$76,$O5,$D$4:$D$76,"Yes",$C$4:$C$76,"Coordinator")=P5,"EC","PM/EC")))</f>
        <v/>
      </c>
    </row>
    <row r="6" customFormat="false" ht="16.5" hidden="false" customHeight="true" outlineLevel="0" collapsed="false">
      <c r="A6" s="49"/>
      <c r="B6" s="49" t="s">
        <v>171</v>
      </c>
      <c r="C6" s="49"/>
      <c r="D6" s="49"/>
      <c r="E6" s="49"/>
      <c r="F6" s="49"/>
      <c r="G6" s="49"/>
      <c r="H6" s="49"/>
      <c r="I6" s="49"/>
      <c r="J6" s="49"/>
      <c r="K6" s="49"/>
      <c r="L6" s="49"/>
      <c r="M6" s="49"/>
      <c r="O6" s="5" t="s">
        <v>172</v>
      </c>
      <c r="P6" s="15" t="n">
        <f aca="false">SUMIFS($H$4:$H$76,$M$4:$M$76,$O6,$D$4:$D$76,"Yes")</f>
        <v>40</v>
      </c>
      <c r="Q6" s="6" t="n">
        <f aca="false">SUMIF($M$4:$M$76,$O6,$K$4:$K$76)</f>
        <v>3600</v>
      </c>
      <c r="R6" s="6" t="n">
        <f aca="false">SUMIF($M$4:$M$76,$O6,$L$4:$L$76)</f>
        <v>2400</v>
      </c>
      <c r="S6" s="5" t="n">
        <f aca="false">IF(P6&gt;0,COUNTIF($P$4:P6,"&gt;0"),"")</f>
        <v>2</v>
      </c>
      <c r="T6" s="5" t="str">
        <f aca="false">IF(P6=0,"",IF(SUMIFS($H$4:$H$76,$M$4:$M$76,$O6,$D$4:$D$76,"Yes",$C$4:$C$76,"Manager")=P6,"PM",IF(SUMIFS($H$4:$H$76,$M$4:$M$76,$O6,$D$4:$D$76,"Yes",$C$4:$C$76,"Coordinator")=P6,"EC","PM/EC")))</f>
        <v>PM</v>
      </c>
    </row>
    <row r="7" customFormat="false" ht="15" hidden="false" customHeight="false" outlineLevel="0" collapsed="false">
      <c r="A7" s="50" t="n">
        <v>2</v>
      </c>
      <c r="B7" s="27" t="s">
        <v>173</v>
      </c>
      <c r="C7" s="5" t="s">
        <v>174</v>
      </c>
      <c r="D7" s="52" t="s">
        <v>102</v>
      </c>
      <c r="E7" s="27" t="s">
        <v>175</v>
      </c>
      <c r="F7" s="15" t="n">
        <f aca="false">ROUND(6*INPUTS!$C$24,0)</f>
        <v>9</v>
      </c>
      <c r="G7" s="41"/>
      <c r="H7" s="15" t="n">
        <f aca="false">IF(ISNUMBER(G7),G7,F7)</f>
        <v>9</v>
      </c>
      <c r="I7" s="16" t="n">
        <f aca="false">IF(C7="Manager",INPUTS!$C$35,IF(C7="Coordinator",INPUTS!$C$36,INPUTS!$C$29*INPUTS!$C$35+INPUTS!$C$30*INPUTS!$C$36))</f>
        <v>90</v>
      </c>
      <c r="J7" s="16" t="n">
        <f aca="false">IF(C7="Manager",INPUTS!$C$33,IF(C7="Coordinator",INPUTS!$C$34,INPUTS!$C$29*INPUTS!$C$33+INPUTS!$C$30*INPUTS!$C$34))</f>
        <v>60</v>
      </c>
      <c r="K7" s="6" t="n">
        <f aca="false">IF(D7="Yes",H7*I7,0)</f>
        <v>0</v>
      </c>
      <c r="L7" s="6" t="n">
        <f aca="false">IF(D7="Yes",H7*J7,0)</f>
        <v>0</v>
      </c>
      <c r="M7" s="5" t="s">
        <v>171</v>
      </c>
      <c r="O7" s="5" t="s">
        <v>176</v>
      </c>
      <c r="P7" s="15" t="n">
        <f aca="false">SUMIFS($H$4:$H$76,$M$4:$M$76,$O7,$D$4:$D$76,"Yes")</f>
        <v>45</v>
      </c>
      <c r="Q7" s="6" t="n">
        <f aca="false">SUMIF($M$4:$M$76,$O7,$K$4:$K$76)</f>
        <v>4050</v>
      </c>
      <c r="R7" s="6" t="n">
        <f aca="false">SUMIF($M$4:$M$76,$O7,$L$4:$L$76)</f>
        <v>2700</v>
      </c>
      <c r="S7" s="5" t="n">
        <f aca="false">IF(P7&gt;0,COUNTIF($P$4:P7,"&gt;0"),"")</f>
        <v>3</v>
      </c>
      <c r="T7" s="5" t="str">
        <f aca="false">IF(P7=0,"",IF(SUMIFS($H$4:$H$76,$M$4:$M$76,$O7,$D$4:$D$76,"Yes",$C$4:$C$76,"Manager")=P7,"PM",IF(SUMIFS($H$4:$H$76,$M$4:$M$76,$O7,$D$4:$D$76,"Yes",$C$4:$C$76,"Coordinator")=P7,"EC","PM/EC")))</f>
        <v>PM</v>
      </c>
    </row>
    <row r="8" customFormat="false" ht="15" hidden="false" customHeight="false" outlineLevel="0" collapsed="false">
      <c r="A8" s="50" t="n">
        <v>3</v>
      </c>
      <c r="B8" s="27" t="s">
        <v>177</v>
      </c>
      <c r="C8" s="5" t="s">
        <v>174</v>
      </c>
      <c r="D8" s="52" t="s">
        <v>102</v>
      </c>
      <c r="E8" s="27" t="s">
        <v>175</v>
      </c>
      <c r="F8" s="15" t="n">
        <f aca="false">ROUND(6*INPUTS!$C$24,0)</f>
        <v>9</v>
      </c>
      <c r="G8" s="41"/>
      <c r="H8" s="15" t="n">
        <f aca="false">IF(ISNUMBER(G8),G8,F8)</f>
        <v>9</v>
      </c>
      <c r="I8" s="16" t="n">
        <f aca="false">IF(C8="Manager",INPUTS!$C$35,IF(C8="Coordinator",INPUTS!$C$36,INPUTS!$C$29*INPUTS!$C$35+INPUTS!$C$30*INPUTS!$C$36))</f>
        <v>90</v>
      </c>
      <c r="J8" s="16" t="n">
        <f aca="false">IF(C8="Manager",INPUTS!$C$33,IF(C8="Coordinator",INPUTS!$C$34,INPUTS!$C$29*INPUTS!$C$33+INPUTS!$C$30*INPUTS!$C$34))</f>
        <v>60</v>
      </c>
      <c r="K8" s="6" t="n">
        <f aca="false">IF(D8="Yes",H8*I8,0)</f>
        <v>0</v>
      </c>
      <c r="L8" s="6" t="n">
        <f aca="false">IF(D8="Yes",H8*J8,0)</f>
        <v>0</v>
      </c>
      <c r="M8" s="5" t="s">
        <v>171</v>
      </c>
      <c r="O8" s="5" t="s">
        <v>178</v>
      </c>
      <c r="P8" s="15" t="n">
        <f aca="false">SUMIFS($H$4:$H$76,$M$4:$M$76,$O8,$D$4:$D$76,"Yes")</f>
        <v>34</v>
      </c>
      <c r="Q8" s="6" t="n">
        <f aca="false">SUMIF($M$4:$M$76,$O8,$K$4:$K$76)</f>
        <v>3060</v>
      </c>
      <c r="R8" s="6" t="n">
        <f aca="false">SUMIF($M$4:$M$76,$O8,$L$4:$L$76)</f>
        <v>2040</v>
      </c>
      <c r="S8" s="5" t="n">
        <f aca="false">IF(P8&gt;0,COUNTIF($P$4:P8,"&gt;0"),"")</f>
        <v>4</v>
      </c>
      <c r="T8" s="5" t="str">
        <f aca="false">IF(P8=0,"",IF(SUMIFS($H$4:$H$76,$M$4:$M$76,$O8,$D$4:$D$76,"Yes",$C$4:$C$76,"Manager")=P8,"PM",IF(SUMIFS($H$4:$H$76,$M$4:$M$76,$O8,$D$4:$D$76,"Yes",$C$4:$C$76,"Coordinator")=P8,"EC","PM/EC")))</f>
        <v>PM</v>
      </c>
    </row>
    <row r="9" customFormat="false" ht="15" hidden="false" customHeight="false" outlineLevel="0" collapsed="false">
      <c r="A9" s="50" t="n">
        <v>4</v>
      </c>
      <c r="B9" s="27" t="s">
        <v>179</v>
      </c>
      <c r="C9" s="5" t="s">
        <v>174</v>
      </c>
      <c r="D9" s="52" t="s">
        <v>102</v>
      </c>
      <c r="E9" s="27" t="s">
        <v>180</v>
      </c>
      <c r="F9" s="15" t="n">
        <f aca="false">ROUND(10*INPUTS!$C$15,0)</f>
        <v>10</v>
      </c>
      <c r="G9" s="41"/>
      <c r="H9" s="15" t="n">
        <f aca="false">IF(ISNUMBER(G9),G9,F9)</f>
        <v>10</v>
      </c>
      <c r="I9" s="16" t="n">
        <f aca="false">IF(C9="Manager",INPUTS!$C$35,IF(C9="Coordinator",INPUTS!$C$36,INPUTS!$C$29*INPUTS!$C$35+INPUTS!$C$30*INPUTS!$C$36))</f>
        <v>90</v>
      </c>
      <c r="J9" s="16" t="n">
        <f aca="false">IF(C9="Manager",INPUTS!$C$33,IF(C9="Coordinator",INPUTS!$C$34,INPUTS!$C$29*INPUTS!$C$33+INPUTS!$C$30*INPUTS!$C$34))</f>
        <v>60</v>
      </c>
      <c r="K9" s="6" t="n">
        <f aca="false">IF(D9="Yes",H9*I9,0)</f>
        <v>0</v>
      </c>
      <c r="L9" s="6" t="n">
        <f aca="false">IF(D9="Yes",H9*J9,0)</f>
        <v>0</v>
      </c>
      <c r="M9" s="5" t="s">
        <v>171</v>
      </c>
      <c r="O9" s="5" t="s">
        <v>181</v>
      </c>
      <c r="P9" s="15" t="n">
        <f aca="false">SUMIFS($H$4:$H$76,$M$4:$M$76,$O9,$D$4:$D$76,"Yes")</f>
        <v>82</v>
      </c>
      <c r="Q9" s="6" t="n">
        <f aca="false">SUMIF($M$4:$M$76,$O9,$K$4:$K$76)</f>
        <v>5330</v>
      </c>
      <c r="R9" s="6" t="n">
        <f aca="false">SUMIF($M$4:$M$76,$O9,$L$4:$L$76)</f>
        <v>3444</v>
      </c>
      <c r="S9" s="5" t="n">
        <f aca="false">IF(P9&gt;0,COUNTIF($P$4:P9,"&gt;0"),"")</f>
        <v>5</v>
      </c>
      <c r="T9" s="5" t="str">
        <f aca="false">IF(P9=0,"",IF(SUMIFS($H$4:$H$76,$M$4:$M$76,$O9,$D$4:$D$76,"Yes",$C$4:$C$76,"Manager")=P9,"PM",IF(SUMIFS($H$4:$H$76,$M$4:$M$76,$O9,$D$4:$D$76,"Yes",$C$4:$C$76,"Coordinator")=P9,"EC","PM/EC")))</f>
        <v>EC</v>
      </c>
    </row>
    <row r="10" customFormat="false" ht="15" hidden="false" customHeight="false" outlineLevel="0" collapsed="false">
      <c r="A10" s="50" t="n">
        <v>5</v>
      </c>
      <c r="B10" s="27" t="s">
        <v>182</v>
      </c>
      <c r="C10" s="5" t="s">
        <v>174</v>
      </c>
      <c r="D10" s="52" t="s">
        <v>102</v>
      </c>
      <c r="E10" s="27" t="s">
        <v>183</v>
      </c>
      <c r="F10" s="15" t="n">
        <f aca="false">ROUND(5*INPUTS!$C$24,0)</f>
        <v>8</v>
      </c>
      <c r="G10" s="41"/>
      <c r="H10" s="15" t="n">
        <f aca="false">IF(ISNUMBER(G10),G10,F10)</f>
        <v>8</v>
      </c>
      <c r="I10" s="16" t="n">
        <f aca="false">IF(C10="Manager",INPUTS!$C$35,IF(C10="Coordinator",INPUTS!$C$36,INPUTS!$C$29*INPUTS!$C$35+INPUTS!$C$30*INPUTS!$C$36))</f>
        <v>90</v>
      </c>
      <c r="J10" s="16" t="n">
        <f aca="false">IF(C10="Manager",INPUTS!$C$33,IF(C10="Coordinator",INPUTS!$C$34,INPUTS!$C$29*INPUTS!$C$33+INPUTS!$C$30*INPUTS!$C$34))</f>
        <v>60</v>
      </c>
      <c r="K10" s="6" t="n">
        <f aca="false">IF(D10="Yes",H10*I10,0)</f>
        <v>0</v>
      </c>
      <c r="L10" s="6" t="n">
        <f aca="false">IF(D10="Yes",H10*J10,0)</f>
        <v>0</v>
      </c>
      <c r="M10" s="5" t="s">
        <v>171</v>
      </c>
      <c r="O10" s="5" t="s">
        <v>184</v>
      </c>
      <c r="P10" s="15" t="n">
        <f aca="false">SUMIFS($H$4:$H$76,$M$4:$M$76,$O10,$D$4:$D$76,"Yes")</f>
        <v>0</v>
      </c>
      <c r="Q10" s="6" t="n">
        <f aca="false">SUMIF($M$4:$M$76,$O10,$K$4:$K$76)</f>
        <v>0</v>
      </c>
      <c r="R10" s="6" t="n">
        <f aca="false">SUMIF($M$4:$M$76,$O10,$L$4:$L$76)</f>
        <v>0</v>
      </c>
      <c r="S10" s="5" t="str">
        <f aca="false">IF(P10&gt;0,COUNTIF($P$4:P10,"&gt;0"),"")</f>
        <v/>
      </c>
      <c r="T10" s="5" t="str">
        <f aca="false">IF(P10=0,"",IF(SUMIFS($H$4:$H$76,$M$4:$M$76,$O10,$D$4:$D$76,"Yes",$C$4:$C$76,"Manager")=P10,"PM",IF(SUMIFS($H$4:$H$76,$M$4:$M$76,$O10,$D$4:$D$76,"Yes",$C$4:$C$76,"Coordinator")=P10,"EC","PM/EC")))</f>
        <v/>
      </c>
    </row>
    <row r="11" customFormat="false" ht="16.5" hidden="false" customHeight="true" outlineLevel="0" collapsed="false">
      <c r="A11" s="49"/>
      <c r="B11" s="49" t="s">
        <v>172</v>
      </c>
      <c r="C11" s="49"/>
      <c r="D11" s="49"/>
      <c r="E11" s="49"/>
      <c r="F11" s="49"/>
      <c r="G11" s="49"/>
      <c r="H11" s="49"/>
      <c r="I11" s="49"/>
      <c r="J11" s="49"/>
      <c r="K11" s="49"/>
      <c r="L11" s="49"/>
      <c r="M11" s="49"/>
      <c r="O11" s="5" t="s">
        <v>185</v>
      </c>
      <c r="P11" s="15" t="n">
        <f aca="false">SUMIFS($H$4:$H$76,$M$4:$M$76,$O11,$D$4:$D$76,"Yes")</f>
        <v>0</v>
      </c>
      <c r="Q11" s="6" t="n">
        <f aca="false">SUMIF($M$4:$M$76,$O11,$K$4:$K$76)</f>
        <v>0</v>
      </c>
      <c r="R11" s="6" t="n">
        <f aca="false">SUMIF($M$4:$M$76,$O11,$L$4:$L$76)</f>
        <v>0</v>
      </c>
      <c r="S11" s="5" t="str">
        <f aca="false">IF(P11&gt;0,COUNTIF($P$4:P11,"&gt;0"),"")</f>
        <v/>
      </c>
      <c r="T11" s="5" t="str">
        <f aca="false">IF(P11=0,"",IF(SUMIFS($H$4:$H$76,$M$4:$M$76,$O11,$D$4:$D$76,"Yes",$C$4:$C$76,"Manager")=P11,"PM",IF(SUMIFS($H$4:$H$76,$M$4:$M$76,$O11,$D$4:$D$76,"Yes",$C$4:$C$76,"Coordinator")=P11,"EC","PM/EC")))</f>
        <v/>
      </c>
    </row>
    <row r="12" customFormat="false" ht="15" hidden="false" customHeight="false" outlineLevel="0" collapsed="false">
      <c r="A12" s="50" t="n">
        <v>6</v>
      </c>
      <c r="B12" s="27" t="s">
        <v>186</v>
      </c>
      <c r="C12" s="5" t="s">
        <v>174</v>
      </c>
      <c r="D12" s="52" t="s">
        <v>169</v>
      </c>
      <c r="E12" s="27" t="s">
        <v>187</v>
      </c>
      <c r="F12" s="15" t="n">
        <f aca="false">ROUND(16*INPUTS!$C$24,0)</f>
        <v>25</v>
      </c>
      <c r="G12" s="41"/>
      <c r="H12" s="15" t="n">
        <f aca="false">IF(ISNUMBER(G12),G12,F12)</f>
        <v>25</v>
      </c>
      <c r="I12" s="16" t="n">
        <f aca="false">IF(C12="Manager",INPUTS!$C$35,IF(C12="Coordinator",INPUTS!$C$36,INPUTS!$C$29*INPUTS!$C$35+INPUTS!$C$30*INPUTS!$C$36))</f>
        <v>90</v>
      </c>
      <c r="J12" s="16" t="n">
        <f aca="false">IF(C12="Manager",INPUTS!$C$33,IF(C12="Coordinator",INPUTS!$C$34,INPUTS!$C$29*INPUTS!$C$33+INPUTS!$C$30*INPUTS!$C$34))</f>
        <v>60</v>
      </c>
      <c r="K12" s="6" t="n">
        <f aca="false">IF(D12="Yes",H12*I12,0)</f>
        <v>2250</v>
      </c>
      <c r="L12" s="6" t="n">
        <f aca="false">IF(D12="Yes",H12*J12,0)</f>
        <v>1500</v>
      </c>
      <c r="M12" s="5" t="s">
        <v>172</v>
      </c>
      <c r="O12" s="5" t="s">
        <v>188</v>
      </c>
      <c r="P12" s="15" t="n">
        <f aca="false">SUMIFS($H$4:$H$76,$M$4:$M$76,$O12,$D$4:$D$76,"Yes")</f>
        <v>40</v>
      </c>
      <c r="Q12" s="6" t="n">
        <f aca="false">SUMIF($M$4:$M$76,$O12,$K$4:$K$76)</f>
        <v>2600</v>
      </c>
      <c r="R12" s="6" t="n">
        <f aca="false">SUMIF($M$4:$M$76,$O12,$L$4:$L$76)</f>
        <v>1680</v>
      </c>
      <c r="S12" s="5" t="n">
        <f aca="false">IF(P12&gt;0,COUNTIF($P$4:P12,"&gt;0"),"")</f>
        <v>6</v>
      </c>
      <c r="T12" s="5" t="str">
        <f aca="false">IF(P12=0,"",IF(SUMIFS($H$4:$H$76,$M$4:$M$76,$O12,$D$4:$D$76,"Yes",$C$4:$C$76,"Manager")=P12,"PM",IF(SUMIFS($H$4:$H$76,$M$4:$M$76,$O12,$D$4:$D$76,"Yes",$C$4:$C$76,"Coordinator")=P12,"EC","PM/EC")))</f>
        <v>EC</v>
      </c>
    </row>
    <row r="13" customFormat="false" ht="15" hidden="false" customHeight="false" outlineLevel="0" collapsed="false">
      <c r="A13" s="50" t="n">
        <v>7</v>
      </c>
      <c r="B13" s="27" t="s">
        <v>189</v>
      </c>
      <c r="C13" s="5" t="s">
        <v>174</v>
      </c>
      <c r="D13" s="52" t="s">
        <v>169</v>
      </c>
      <c r="E13" s="27" t="s">
        <v>190</v>
      </c>
      <c r="F13" s="15" t="n">
        <f aca="false">ROUND(10*INPUTS!$C$24,0)</f>
        <v>15</v>
      </c>
      <c r="G13" s="41"/>
      <c r="H13" s="15" t="n">
        <f aca="false">IF(ISNUMBER(G13),G13,F13)</f>
        <v>15</v>
      </c>
      <c r="I13" s="16" t="n">
        <f aca="false">IF(C13="Manager",INPUTS!$C$35,IF(C13="Coordinator",INPUTS!$C$36,INPUTS!$C$29*INPUTS!$C$35+INPUTS!$C$30*INPUTS!$C$36))</f>
        <v>90</v>
      </c>
      <c r="J13" s="16" t="n">
        <f aca="false">IF(C13="Manager",INPUTS!$C$33,IF(C13="Coordinator",INPUTS!$C$34,INPUTS!$C$29*INPUTS!$C$33+INPUTS!$C$30*INPUTS!$C$34))</f>
        <v>60</v>
      </c>
      <c r="K13" s="6" t="n">
        <f aca="false">IF(D13="Yes",H13*I13,0)</f>
        <v>1350</v>
      </c>
      <c r="L13" s="6" t="n">
        <f aca="false">IF(D13="Yes",H13*J13,0)</f>
        <v>900</v>
      </c>
      <c r="M13" s="5" t="s">
        <v>172</v>
      </c>
      <c r="O13" s="5" t="s">
        <v>191</v>
      </c>
      <c r="P13" s="15" t="n">
        <f aca="false">SUMIFS($H$4:$H$76,$M$4:$M$76,$O13,$D$4:$D$76,"Yes")</f>
        <v>14</v>
      </c>
      <c r="Q13" s="6" t="n">
        <f aca="false">SUMIF($M$4:$M$76,$O13,$K$4:$K$76)</f>
        <v>1260</v>
      </c>
      <c r="R13" s="6" t="n">
        <f aca="false">SUMIF($M$4:$M$76,$O13,$L$4:$L$76)</f>
        <v>840</v>
      </c>
      <c r="S13" s="5" t="n">
        <f aca="false">IF(P13&gt;0,COUNTIF($P$4:P13,"&gt;0"),"")</f>
        <v>7</v>
      </c>
      <c r="T13" s="5" t="str">
        <f aca="false">IF(P13=0,"",IF(SUMIFS($H$4:$H$76,$M$4:$M$76,$O13,$D$4:$D$76,"Yes",$C$4:$C$76,"Manager")=P13,"PM",IF(SUMIFS($H$4:$H$76,$M$4:$M$76,$O13,$D$4:$D$76,"Yes",$C$4:$C$76,"Coordinator")=P13,"EC","PM/EC")))</f>
        <v>PM</v>
      </c>
    </row>
    <row r="14" customFormat="false" ht="16.5" hidden="false" customHeight="true" outlineLevel="0" collapsed="false">
      <c r="A14" s="49"/>
      <c r="B14" s="49" t="s">
        <v>176</v>
      </c>
      <c r="C14" s="49"/>
      <c r="D14" s="49"/>
      <c r="E14" s="49"/>
      <c r="F14" s="49"/>
      <c r="G14" s="49"/>
      <c r="H14" s="49"/>
      <c r="I14" s="49"/>
      <c r="J14" s="49"/>
      <c r="K14" s="49"/>
      <c r="L14" s="49"/>
      <c r="M14" s="49"/>
      <c r="O14" s="5" t="s">
        <v>192</v>
      </c>
      <c r="P14" s="15" t="n">
        <f aca="false">SUMIFS($H$4:$H$76,$M$4:$M$76,$O14,$D$4:$D$76,"Yes")</f>
        <v>0</v>
      </c>
      <c r="Q14" s="6" t="n">
        <f aca="false">SUMIF($M$4:$M$76,$O14,$K$4:$K$76)</f>
        <v>0</v>
      </c>
      <c r="R14" s="6" t="n">
        <f aca="false">SUMIF($M$4:$M$76,$O14,$L$4:$L$76)</f>
        <v>0</v>
      </c>
      <c r="S14" s="5" t="str">
        <f aca="false">IF(P14&gt;0,COUNTIF($P$4:P14,"&gt;0"),"")</f>
        <v/>
      </c>
      <c r="T14" s="5" t="str">
        <f aca="false">IF(P14=0,"",IF(SUMIFS($H$4:$H$76,$M$4:$M$76,$O14,$D$4:$D$76,"Yes",$C$4:$C$76,"Manager")=P14,"PM",IF(SUMIFS($H$4:$H$76,$M$4:$M$76,$O14,$D$4:$D$76,"Yes",$C$4:$C$76,"Coordinator")=P14,"EC","PM/EC")))</f>
        <v/>
      </c>
    </row>
    <row r="15" customFormat="false" ht="15" hidden="false" customHeight="false" outlineLevel="0" collapsed="false">
      <c r="A15" s="50" t="n">
        <v>8</v>
      </c>
      <c r="B15" s="27" t="s">
        <v>193</v>
      </c>
      <c r="C15" s="5" t="s">
        <v>174</v>
      </c>
      <c r="D15" s="52" t="s">
        <v>169</v>
      </c>
      <c r="E15" s="27" t="s">
        <v>194</v>
      </c>
      <c r="F15" s="15" t="n">
        <f aca="false">ROUND(7*INPUTS!$C$24,0)</f>
        <v>11</v>
      </c>
      <c r="G15" s="41"/>
      <c r="H15" s="15" t="n">
        <f aca="false">IF(ISNUMBER(G15),G15,F15)</f>
        <v>11</v>
      </c>
      <c r="I15" s="16" t="n">
        <f aca="false">IF(C15="Manager",INPUTS!$C$35,IF(C15="Coordinator",INPUTS!$C$36,INPUTS!$C$29*INPUTS!$C$35+INPUTS!$C$30*INPUTS!$C$36))</f>
        <v>90</v>
      </c>
      <c r="J15" s="16" t="n">
        <f aca="false">IF(C15="Manager",INPUTS!$C$33,IF(C15="Coordinator",INPUTS!$C$34,INPUTS!$C$29*INPUTS!$C$33+INPUTS!$C$30*INPUTS!$C$34))</f>
        <v>60</v>
      </c>
      <c r="K15" s="6" t="n">
        <f aca="false">IF(D15="Yes",H15*I15,0)</f>
        <v>990</v>
      </c>
      <c r="L15" s="6" t="n">
        <f aca="false">IF(D15="Yes",H15*J15,0)</f>
        <v>660</v>
      </c>
      <c r="M15" s="5" t="s">
        <v>176</v>
      </c>
      <c r="O15" s="5" t="s">
        <v>195</v>
      </c>
      <c r="P15" s="15" t="n">
        <f aca="false">SUMIFS($H$4:$H$76,$M$4:$M$76,$O15,$D$4:$D$76,"Yes")</f>
        <v>32</v>
      </c>
      <c r="Q15" s="6" t="n">
        <f aca="false">SUMIF($M$4:$M$76,$O15,$K$4:$K$76)</f>
        <v>2080</v>
      </c>
      <c r="R15" s="6" t="n">
        <f aca="false">SUMIF($M$4:$M$76,$O15,$L$4:$L$76)</f>
        <v>1344</v>
      </c>
      <c r="S15" s="5" t="n">
        <f aca="false">IF(P15&gt;0,COUNTIF($P$4:P15,"&gt;0"),"")</f>
        <v>8</v>
      </c>
      <c r="T15" s="5" t="str">
        <f aca="false">IF(P15=0,"",IF(SUMIFS($H$4:$H$76,$M$4:$M$76,$O15,$D$4:$D$76,"Yes",$C$4:$C$76,"Manager")=P15,"PM",IF(SUMIFS($H$4:$H$76,$M$4:$M$76,$O15,$D$4:$D$76,"Yes",$C$4:$C$76,"Coordinator")=P15,"EC","PM/EC")))</f>
        <v>EC</v>
      </c>
    </row>
    <row r="16" customFormat="false" ht="15" hidden="false" customHeight="false" outlineLevel="0" collapsed="false">
      <c r="A16" s="50" t="n">
        <v>9</v>
      </c>
      <c r="B16" s="27" t="s">
        <v>196</v>
      </c>
      <c r="C16" s="5" t="s">
        <v>174</v>
      </c>
      <c r="D16" s="52" t="s">
        <v>169</v>
      </c>
      <c r="E16" s="27" t="s">
        <v>197</v>
      </c>
      <c r="F16" s="15" t="n">
        <f aca="false">ROUND(14*INPUTS!$C$24,0)</f>
        <v>22</v>
      </c>
      <c r="G16" s="41"/>
      <c r="H16" s="15" t="n">
        <f aca="false">IF(ISNUMBER(G16),G16,F16)</f>
        <v>22</v>
      </c>
      <c r="I16" s="16" t="n">
        <f aca="false">IF(C16="Manager",INPUTS!$C$35,IF(C16="Coordinator",INPUTS!$C$36,INPUTS!$C$29*INPUTS!$C$35+INPUTS!$C$30*INPUTS!$C$36))</f>
        <v>90</v>
      </c>
      <c r="J16" s="16" t="n">
        <f aca="false">IF(C16="Manager",INPUTS!$C$33,IF(C16="Coordinator",INPUTS!$C$34,INPUTS!$C$29*INPUTS!$C$33+INPUTS!$C$30*INPUTS!$C$34))</f>
        <v>60</v>
      </c>
      <c r="K16" s="6" t="n">
        <f aca="false">IF(D16="Yes",H16*I16,0)</f>
        <v>1980</v>
      </c>
      <c r="L16" s="6" t="n">
        <f aca="false">IF(D16="Yes",H16*J16,0)</f>
        <v>1320</v>
      </c>
      <c r="M16" s="5" t="s">
        <v>176</v>
      </c>
      <c r="O16" s="5" t="s">
        <v>198</v>
      </c>
      <c r="P16" s="15" t="n">
        <f aca="false">SUMIFS($H$4:$H$76,$M$4:$M$76,$O16,$D$4:$D$76,"Yes")</f>
        <v>0</v>
      </c>
      <c r="Q16" s="6" t="n">
        <f aca="false">SUMIF($M$4:$M$76,$O16,$K$4:$K$76)</f>
        <v>0</v>
      </c>
      <c r="R16" s="6" t="n">
        <f aca="false">SUMIF($M$4:$M$76,$O16,$L$4:$L$76)</f>
        <v>0</v>
      </c>
      <c r="S16" s="5" t="str">
        <f aca="false">IF(P16&gt;0,COUNTIF($P$4:P16,"&gt;0"),"")</f>
        <v/>
      </c>
      <c r="T16" s="5" t="str">
        <f aca="false">IF(P16=0,"",IF(SUMIFS($H$4:$H$76,$M$4:$M$76,$O16,$D$4:$D$76,"Yes",$C$4:$C$76,"Manager")=P16,"PM",IF(SUMIFS($H$4:$H$76,$M$4:$M$76,$O16,$D$4:$D$76,"Yes",$C$4:$C$76,"Coordinator")=P16,"EC","PM/EC")))</f>
        <v/>
      </c>
    </row>
    <row r="17" customFormat="false" ht="15" hidden="false" customHeight="false" outlineLevel="0" collapsed="false">
      <c r="A17" s="50" t="n">
        <v>10</v>
      </c>
      <c r="B17" s="27" t="s">
        <v>199</v>
      </c>
      <c r="C17" s="5" t="s">
        <v>174</v>
      </c>
      <c r="D17" s="52" t="s">
        <v>169</v>
      </c>
      <c r="E17" s="27" t="s">
        <v>200</v>
      </c>
      <c r="F17" s="15" t="n">
        <f aca="false">ROUND(8*INPUTS!$C$24,0)</f>
        <v>12</v>
      </c>
      <c r="G17" s="41"/>
      <c r="H17" s="15" t="n">
        <f aca="false">IF(ISNUMBER(G17),G17,F17)</f>
        <v>12</v>
      </c>
      <c r="I17" s="16" t="n">
        <f aca="false">IF(C17="Manager",INPUTS!$C$35,IF(C17="Coordinator",INPUTS!$C$36,INPUTS!$C$29*INPUTS!$C$35+INPUTS!$C$30*INPUTS!$C$36))</f>
        <v>90</v>
      </c>
      <c r="J17" s="16" t="n">
        <f aca="false">IF(C17="Manager",INPUTS!$C$33,IF(C17="Coordinator",INPUTS!$C$34,INPUTS!$C$29*INPUTS!$C$33+INPUTS!$C$30*INPUTS!$C$34))</f>
        <v>60</v>
      </c>
      <c r="K17" s="6" t="n">
        <f aca="false">IF(D17="Yes",H17*I17,0)</f>
        <v>1080</v>
      </c>
      <c r="L17" s="6" t="n">
        <f aca="false">IF(D17="Yes",H17*J17,0)</f>
        <v>720</v>
      </c>
      <c r="M17" s="5" t="s">
        <v>176</v>
      </c>
      <c r="O17" s="5" t="s">
        <v>201</v>
      </c>
      <c r="P17" s="15" t="n">
        <f aca="false">SUMIFS($H$4:$H$76,$M$4:$M$76,$O17,$D$4:$D$76,"Yes")</f>
        <v>63</v>
      </c>
      <c r="Q17" s="6" t="n">
        <f aca="false">SUMIF($M$4:$M$76,$O17,$K$4:$K$76)</f>
        <v>5670</v>
      </c>
      <c r="R17" s="6" t="n">
        <f aca="false">SUMIF($M$4:$M$76,$O17,$L$4:$L$76)</f>
        <v>3780</v>
      </c>
      <c r="S17" s="5" t="n">
        <f aca="false">IF(P17&gt;0,COUNTIF($P$4:P17,"&gt;0"),"")</f>
        <v>9</v>
      </c>
      <c r="T17" s="5" t="str">
        <f aca="false">IF(P17=0,"",IF(SUMIFS($H$4:$H$76,$M$4:$M$76,$O17,$D$4:$D$76,"Yes",$C$4:$C$76,"Manager")=P17,"PM",IF(SUMIFS($H$4:$H$76,$M$4:$M$76,$O17,$D$4:$D$76,"Yes",$C$4:$C$76,"Coordinator")=P17,"EC","PM/EC")))</f>
        <v>PM</v>
      </c>
    </row>
    <row r="18" customFormat="false" ht="15" hidden="false" customHeight="false" outlineLevel="0" collapsed="false">
      <c r="A18" s="50" t="n">
        <v>11</v>
      </c>
      <c r="B18" s="27" t="s">
        <v>202</v>
      </c>
      <c r="C18" s="5" t="s">
        <v>174</v>
      </c>
      <c r="D18" s="52" t="s">
        <v>102</v>
      </c>
      <c r="E18" s="27" t="s">
        <v>203</v>
      </c>
      <c r="F18" s="15" t="n">
        <f aca="false">ROUND(26*INPUTS!$C$24,0)</f>
        <v>40</v>
      </c>
      <c r="G18" s="41"/>
      <c r="H18" s="15" t="n">
        <f aca="false">IF(ISNUMBER(G18),G18,F18)</f>
        <v>40</v>
      </c>
      <c r="I18" s="16" t="n">
        <f aca="false">IF(C18="Manager",INPUTS!$C$35,IF(C18="Coordinator",INPUTS!$C$36,INPUTS!$C$29*INPUTS!$C$35+INPUTS!$C$30*INPUTS!$C$36))</f>
        <v>90</v>
      </c>
      <c r="J18" s="16" t="n">
        <f aca="false">IF(C18="Manager",INPUTS!$C$33,IF(C18="Coordinator",INPUTS!$C$34,INPUTS!$C$29*INPUTS!$C$33+INPUTS!$C$30*INPUTS!$C$34))</f>
        <v>60</v>
      </c>
      <c r="K18" s="6" t="n">
        <f aca="false">IF(D18="Yes",H18*I18,0)</f>
        <v>0</v>
      </c>
      <c r="L18" s="6" t="n">
        <f aca="false">IF(D18="Yes",H18*J18,0)</f>
        <v>0</v>
      </c>
      <c r="M18" s="5" t="s">
        <v>176</v>
      </c>
      <c r="O18" s="5" t="s">
        <v>204</v>
      </c>
      <c r="P18" s="15" t="n">
        <f aca="false">SUMIFS($H$4:$H$76,$M$4:$M$76,$O18,$D$4:$D$76,"Yes")</f>
        <v>0</v>
      </c>
      <c r="Q18" s="6" t="n">
        <f aca="false">SUMIF($M$4:$M$76,$O18,$K$4:$K$76)</f>
        <v>0</v>
      </c>
      <c r="R18" s="6" t="n">
        <f aca="false">SUMIF($M$4:$M$76,$O18,$L$4:$L$76)</f>
        <v>0</v>
      </c>
      <c r="S18" s="5" t="str">
        <f aca="false">IF(P18&gt;0,COUNTIF($P$4:P18,"&gt;0"),"")</f>
        <v/>
      </c>
      <c r="T18" s="5" t="str">
        <f aca="false">IF(P18=0,"",IF(SUMIFS($H$4:$H$76,$M$4:$M$76,$O18,$D$4:$D$76,"Yes",$C$4:$C$76,"Manager")=P18,"PM",IF(SUMIFS($H$4:$H$76,$M$4:$M$76,$O18,$D$4:$D$76,"Yes",$C$4:$C$76,"Coordinator")=P18,"EC","PM/EC")))</f>
        <v/>
      </c>
    </row>
    <row r="19" customFormat="false" ht="16.5" hidden="false" customHeight="true" outlineLevel="0" collapsed="false">
      <c r="A19" s="49"/>
      <c r="B19" s="49" t="s">
        <v>178</v>
      </c>
      <c r="C19" s="49"/>
      <c r="D19" s="49"/>
      <c r="E19" s="49"/>
      <c r="F19" s="49"/>
      <c r="G19" s="49"/>
      <c r="H19" s="49"/>
      <c r="I19" s="49"/>
      <c r="J19" s="49"/>
      <c r="K19" s="49"/>
      <c r="L19" s="49"/>
      <c r="M19" s="49"/>
      <c r="O19" s="5" t="s">
        <v>205</v>
      </c>
      <c r="P19" s="15" t="n">
        <f aca="false">SUMIFS($H$4:$H$76,$M$4:$M$76,$O19,$D$4:$D$76,"Yes")</f>
        <v>18</v>
      </c>
      <c r="Q19" s="6" t="n">
        <f aca="false">SUMIF($M$4:$M$76,$O19,$K$4:$K$76)</f>
        <v>1620</v>
      </c>
      <c r="R19" s="6" t="n">
        <f aca="false">SUMIF($M$4:$M$76,$O19,$L$4:$L$76)</f>
        <v>1080</v>
      </c>
      <c r="S19" s="5" t="n">
        <f aca="false">IF(P19&gt;0,COUNTIF($P$4:P19,"&gt;0"),"")</f>
        <v>10</v>
      </c>
      <c r="T19" s="5" t="str">
        <f aca="false">IF(P19=0,"",IF(SUMIFS($H$4:$H$76,$M$4:$M$76,$O19,$D$4:$D$76,"Yes",$C$4:$C$76,"Manager")=P19,"PM",IF(SUMIFS($H$4:$H$76,$M$4:$M$76,$O19,$D$4:$D$76,"Yes",$C$4:$C$76,"Coordinator")=P19,"EC","PM/EC")))</f>
        <v>PM</v>
      </c>
    </row>
    <row r="20" customFormat="false" ht="15" hidden="false" customHeight="false" outlineLevel="0" collapsed="false">
      <c r="A20" s="50" t="n">
        <v>12</v>
      </c>
      <c r="B20" s="27" t="s">
        <v>206</v>
      </c>
      <c r="C20" s="5" t="s">
        <v>174</v>
      </c>
      <c r="D20" s="52" t="s">
        <v>169</v>
      </c>
      <c r="E20" s="27" t="s">
        <v>207</v>
      </c>
      <c r="F20" s="15" t="n">
        <f aca="false">ROUND(22*INPUTS!$C$24,0)</f>
        <v>34</v>
      </c>
      <c r="G20" s="41"/>
      <c r="H20" s="15" t="n">
        <f aca="false">IF(ISNUMBER(G20),G20,F20)</f>
        <v>34</v>
      </c>
      <c r="I20" s="16" t="n">
        <f aca="false">IF(C20="Manager",INPUTS!$C$35,IF(C20="Coordinator",INPUTS!$C$36,INPUTS!$C$29*INPUTS!$C$35+INPUTS!$C$30*INPUTS!$C$36))</f>
        <v>90</v>
      </c>
      <c r="J20" s="16" t="n">
        <f aca="false">IF(C20="Manager",INPUTS!$C$33,IF(C20="Coordinator",INPUTS!$C$34,INPUTS!$C$29*INPUTS!$C$33+INPUTS!$C$30*INPUTS!$C$34))</f>
        <v>60</v>
      </c>
      <c r="K20" s="6" t="n">
        <f aca="false">IF(D20="Yes",H20*I20,0)</f>
        <v>3060</v>
      </c>
      <c r="L20" s="6" t="n">
        <f aca="false">IF(D20="Yes",H20*J20,0)</f>
        <v>2040</v>
      </c>
      <c r="M20" s="5" t="s">
        <v>178</v>
      </c>
      <c r="O20" s="5" t="s">
        <v>208</v>
      </c>
      <c r="P20" s="15" t="n">
        <f aca="false">SUMIFS($H$4:$H$76,$M$4:$M$76,$O20,$D$4:$D$76,"Yes")</f>
        <v>0</v>
      </c>
      <c r="Q20" s="6" t="n">
        <f aca="false">SUMIF($M$4:$M$76,$O20,$K$4:$K$76)</f>
        <v>0</v>
      </c>
      <c r="R20" s="6" t="n">
        <f aca="false">SUMIF($M$4:$M$76,$O20,$L$4:$L$76)</f>
        <v>0</v>
      </c>
      <c r="S20" s="5" t="str">
        <f aca="false">IF(P20&gt;0,COUNTIF($P$4:P20,"&gt;0"),"")</f>
        <v/>
      </c>
      <c r="T20" s="5" t="str">
        <f aca="false">IF(P20=0,"",IF(SUMIFS($H$4:$H$76,$M$4:$M$76,$O20,$D$4:$D$76,"Yes",$C$4:$C$76,"Manager")=P20,"PM",IF(SUMIFS($H$4:$H$76,$M$4:$M$76,$O20,$D$4:$D$76,"Yes",$C$4:$C$76,"Coordinator")=P20,"EC","PM/EC")))</f>
        <v/>
      </c>
    </row>
    <row r="21" customFormat="false" ht="16.5" hidden="false" customHeight="true" outlineLevel="0" collapsed="false">
      <c r="A21" s="49"/>
      <c r="B21" s="49" t="s">
        <v>181</v>
      </c>
      <c r="C21" s="49"/>
      <c r="D21" s="49"/>
      <c r="E21" s="49"/>
      <c r="F21" s="49"/>
      <c r="G21" s="49"/>
      <c r="H21" s="49"/>
      <c r="I21" s="49"/>
      <c r="J21" s="49"/>
      <c r="K21" s="49"/>
      <c r="L21" s="49"/>
      <c r="M21" s="49"/>
      <c r="O21" s="5" t="s">
        <v>209</v>
      </c>
      <c r="P21" s="15" t="n">
        <f aca="false">SUMIFS($H$4:$H$76,$M$4:$M$76,$O21,$D$4:$D$76,"Yes")</f>
        <v>60</v>
      </c>
      <c r="Q21" s="6" t="n">
        <f aca="false">SUMIF($M$4:$M$76,$O21,$K$4:$K$76)</f>
        <v>5400</v>
      </c>
      <c r="R21" s="6" t="n">
        <f aca="false">SUMIF($M$4:$M$76,$O21,$L$4:$L$76)</f>
        <v>3600</v>
      </c>
      <c r="S21" s="5" t="n">
        <f aca="false">IF(P21&gt;0,COUNTIF($P$4:P21,"&gt;0"),"")</f>
        <v>11</v>
      </c>
      <c r="T21" s="5" t="str">
        <f aca="false">IF(P21=0,"",IF(SUMIFS($H$4:$H$76,$M$4:$M$76,$O21,$D$4:$D$76,"Yes",$C$4:$C$76,"Manager")=P21,"PM",IF(SUMIFS($H$4:$H$76,$M$4:$M$76,$O21,$D$4:$D$76,"Yes",$C$4:$C$76,"Coordinator")=P21,"EC","PM/EC")))</f>
        <v>PM</v>
      </c>
    </row>
    <row r="22" customFormat="false" ht="15" hidden="false" customHeight="false" outlineLevel="0" collapsed="false">
      <c r="A22" s="50" t="n">
        <v>13</v>
      </c>
      <c r="B22" s="27" t="s">
        <v>210</v>
      </c>
      <c r="C22" s="5" t="s">
        <v>211</v>
      </c>
      <c r="D22" s="52" t="s">
        <v>169</v>
      </c>
      <c r="E22" s="27" t="s">
        <v>212</v>
      </c>
      <c r="F22" s="15" t="n">
        <f aca="false">ROUND(35*INPUTS!$C$24,0)</f>
        <v>54</v>
      </c>
      <c r="G22" s="41"/>
      <c r="H22" s="15" t="n">
        <f aca="false">IF(ISNUMBER(G22),G22,F22)</f>
        <v>54</v>
      </c>
      <c r="I22" s="16" t="n">
        <f aca="false">IF(C22="Manager",INPUTS!$C$35,IF(C22="Coordinator",INPUTS!$C$36,INPUTS!$C$29*INPUTS!$C$35+INPUTS!$C$30*INPUTS!$C$36))</f>
        <v>65</v>
      </c>
      <c r="J22" s="16" t="n">
        <f aca="false">IF(C22="Manager",INPUTS!$C$33,IF(C22="Coordinator",INPUTS!$C$34,INPUTS!$C$29*INPUTS!$C$33+INPUTS!$C$30*INPUTS!$C$34))</f>
        <v>42</v>
      </c>
      <c r="K22" s="6" t="n">
        <f aca="false">IF(D22="Yes",H22*I22,0)</f>
        <v>3510</v>
      </c>
      <c r="L22" s="6" t="n">
        <f aca="false">IF(D22="Yes",H22*J22,0)</f>
        <v>2268</v>
      </c>
      <c r="M22" s="5" t="s">
        <v>181</v>
      </c>
      <c r="O22" s="5" t="s">
        <v>213</v>
      </c>
      <c r="P22" s="15" t="n">
        <f aca="false">SUMIFS($H$4:$H$76,$M$4:$M$76,$O22,$D$4:$D$76,"Yes")</f>
        <v>15</v>
      </c>
      <c r="Q22" s="6" t="n">
        <f aca="false">SUMIF($M$4:$M$76,$O22,$K$4:$K$76)</f>
        <v>1350</v>
      </c>
      <c r="R22" s="6" t="n">
        <f aca="false">SUMIF($M$4:$M$76,$O22,$L$4:$L$76)</f>
        <v>900</v>
      </c>
      <c r="S22" s="5" t="n">
        <f aca="false">IF(P22&gt;0,COUNTIF($P$4:P22,"&gt;0"),"")</f>
        <v>12</v>
      </c>
      <c r="T22" s="5" t="str">
        <f aca="false">IF(P22=0,"",IF(SUMIFS($H$4:$H$76,$M$4:$M$76,$O22,$D$4:$D$76,"Yes",$C$4:$C$76,"Manager")=P22,"PM",IF(SUMIFS($H$4:$H$76,$M$4:$M$76,$O22,$D$4:$D$76,"Yes",$C$4:$C$76,"Coordinator")=P22,"EC","PM/EC")))</f>
        <v>PM</v>
      </c>
    </row>
    <row r="23" customFormat="false" ht="15" hidden="false" customHeight="false" outlineLevel="0" collapsed="false">
      <c r="A23" s="50" t="n">
        <v>14</v>
      </c>
      <c r="B23" s="27" t="s">
        <v>214</v>
      </c>
      <c r="C23" s="5" t="s">
        <v>211</v>
      </c>
      <c r="D23" s="52" t="s">
        <v>169</v>
      </c>
      <c r="E23" s="27" t="s">
        <v>215</v>
      </c>
      <c r="F23" s="15" t="n">
        <f aca="false">ROUND(18*INPUTS!$C$24,0)</f>
        <v>28</v>
      </c>
      <c r="G23" s="41"/>
      <c r="H23" s="15" t="n">
        <f aca="false">IF(ISNUMBER(G23),G23,F23)</f>
        <v>28</v>
      </c>
      <c r="I23" s="16" t="n">
        <f aca="false">IF(C23="Manager",INPUTS!$C$35,IF(C23="Coordinator",INPUTS!$C$36,INPUTS!$C$29*INPUTS!$C$35+INPUTS!$C$30*INPUTS!$C$36))</f>
        <v>65</v>
      </c>
      <c r="J23" s="16" t="n">
        <f aca="false">IF(C23="Manager",INPUTS!$C$33,IF(C23="Coordinator",INPUTS!$C$34,INPUTS!$C$29*INPUTS!$C$33+INPUTS!$C$30*INPUTS!$C$34))</f>
        <v>42</v>
      </c>
      <c r="K23" s="6" t="n">
        <f aca="false">IF(D23="Yes",H23*I23,0)</f>
        <v>1820</v>
      </c>
      <c r="L23" s="6" t="n">
        <f aca="false">IF(D23="Yes",H23*J23,0)</f>
        <v>1176</v>
      </c>
      <c r="M23" s="5" t="s">
        <v>181</v>
      </c>
      <c r="O23" s="5" t="s">
        <v>216</v>
      </c>
      <c r="P23" s="15" t="n">
        <f aca="false">SUMIFS($H$4:$H$76,$M$4:$M$76,$O23,$D$4:$D$76,"Yes")</f>
        <v>0</v>
      </c>
      <c r="Q23" s="6" t="n">
        <f aca="false">SUMIF($M$4:$M$76,$O23,$K$4:$K$76)</f>
        <v>0</v>
      </c>
      <c r="R23" s="6" t="n">
        <f aca="false">SUMIF($M$4:$M$76,$O23,$L$4:$L$76)</f>
        <v>0</v>
      </c>
      <c r="S23" s="5" t="str">
        <f aca="false">IF(P23&gt;0,COUNTIF($P$4:P23,"&gt;0"),"")</f>
        <v/>
      </c>
      <c r="T23" s="5" t="str">
        <f aca="false">IF(P23=0,"",IF(SUMIFS($H$4:$H$76,$M$4:$M$76,$O23,$D$4:$D$76,"Yes",$C$4:$C$76,"Manager")=P23,"PM",IF(SUMIFS($H$4:$H$76,$M$4:$M$76,$O23,$D$4:$D$76,"Yes",$C$4:$C$76,"Coordinator")=P23,"EC","PM/EC")))</f>
        <v/>
      </c>
    </row>
    <row r="24" customFormat="false" ht="15" hidden="false" customHeight="false" outlineLevel="0" collapsed="false">
      <c r="A24" s="50" t="n">
        <v>15</v>
      </c>
      <c r="B24" s="27" t="s">
        <v>217</v>
      </c>
      <c r="C24" s="5" t="s">
        <v>211</v>
      </c>
      <c r="D24" s="52" t="s">
        <v>102</v>
      </c>
      <c r="E24" s="27" t="s">
        <v>218</v>
      </c>
      <c r="F24" s="15" t="n">
        <f aca="false">ROUND(25*INPUTS!$C$24,0)</f>
        <v>39</v>
      </c>
      <c r="G24" s="41"/>
      <c r="H24" s="15" t="n">
        <f aca="false">IF(ISNUMBER(G24),G24,F24)</f>
        <v>39</v>
      </c>
      <c r="I24" s="16" t="n">
        <f aca="false">IF(C24="Manager",INPUTS!$C$35,IF(C24="Coordinator",INPUTS!$C$36,INPUTS!$C$29*INPUTS!$C$35+INPUTS!$C$30*INPUTS!$C$36))</f>
        <v>65</v>
      </c>
      <c r="J24" s="16" t="n">
        <f aca="false">IF(C24="Manager",INPUTS!$C$33,IF(C24="Coordinator",INPUTS!$C$34,INPUTS!$C$29*INPUTS!$C$33+INPUTS!$C$30*INPUTS!$C$34))</f>
        <v>42</v>
      </c>
      <c r="K24" s="6" t="n">
        <f aca="false">IF(D24="Yes",H24*I24,0)</f>
        <v>0</v>
      </c>
      <c r="L24" s="6" t="n">
        <f aca="false">IF(D24="Yes",H24*J24,0)</f>
        <v>0</v>
      </c>
      <c r="M24" s="5" t="s">
        <v>181</v>
      </c>
    </row>
    <row r="25" customFormat="false" ht="16.5" hidden="false" customHeight="true" outlineLevel="0" collapsed="false">
      <c r="A25" s="49"/>
      <c r="B25" s="49" t="s">
        <v>184</v>
      </c>
      <c r="C25" s="49"/>
      <c r="D25" s="49"/>
      <c r="E25" s="49"/>
      <c r="F25" s="49"/>
      <c r="G25" s="49"/>
      <c r="H25" s="49"/>
      <c r="I25" s="49"/>
      <c r="J25" s="49"/>
      <c r="K25" s="49"/>
      <c r="L25" s="49"/>
      <c r="M25" s="49"/>
    </row>
    <row r="26" customFormat="false" ht="15" hidden="false" customHeight="false" outlineLevel="0" collapsed="false">
      <c r="A26" s="50" t="n">
        <v>16</v>
      </c>
      <c r="B26" s="27" t="s">
        <v>219</v>
      </c>
      <c r="C26" s="5" t="s">
        <v>211</v>
      </c>
      <c r="D26" s="52" t="s">
        <v>102</v>
      </c>
      <c r="E26" s="27" t="s">
        <v>220</v>
      </c>
      <c r="F26" s="15" t="n">
        <f aca="false">ROUND(20*INPUTS!$C$24,0)</f>
        <v>31</v>
      </c>
      <c r="G26" s="41"/>
      <c r="H26" s="15" t="n">
        <f aca="false">IF(ISNUMBER(G26),G26,F26)</f>
        <v>31</v>
      </c>
      <c r="I26" s="16" t="n">
        <f aca="false">IF(C26="Manager",INPUTS!$C$35,IF(C26="Coordinator",INPUTS!$C$36,INPUTS!$C$29*INPUTS!$C$35+INPUTS!$C$30*INPUTS!$C$36))</f>
        <v>65</v>
      </c>
      <c r="J26" s="16" t="n">
        <f aca="false">IF(C26="Manager",INPUTS!$C$33,IF(C26="Coordinator",INPUTS!$C$34,INPUTS!$C$29*INPUTS!$C$33+INPUTS!$C$30*INPUTS!$C$34))</f>
        <v>42</v>
      </c>
      <c r="K26" s="6" t="n">
        <f aca="false">IF(D26="Yes",H26*I26,0)</f>
        <v>0</v>
      </c>
      <c r="L26" s="6" t="n">
        <f aca="false">IF(D26="Yes",H26*J26,0)</f>
        <v>0</v>
      </c>
      <c r="M26" s="5" t="s">
        <v>184</v>
      </c>
    </row>
    <row r="27" customFormat="false" ht="16.5" hidden="false" customHeight="true" outlineLevel="0" collapsed="false">
      <c r="A27" s="49"/>
      <c r="B27" s="49" t="s">
        <v>185</v>
      </c>
      <c r="C27" s="49"/>
      <c r="D27" s="49"/>
      <c r="E27" s="49"/>
      <c r="F27" s="49"/>
      <c r="G27" s="49"/>
      <c r="H27" s="49"/>
      <c r="I27" s="49"/>
      <c r="J27" s="49"/>
      <c r="K27" s="49"/>
      <c r="L27" s="49"/>
      <c r="M27" s="49"/>
    </row>
    <row r="28" customFormat="false" ht="15" hidden="false" customHeight="false" outlineLevel="0" collapsed="false">
      <c r="A28" s="50" t="n">
        <v>17</v>
      </c>
      <c r="B28" s="27" t="s">
        <v>221</v>
      </c>
      <c r="C28" s="5" t="s">
        <v>211</v>
      </c>
      <c r="D28" s="52" t="s">
        <v>102</v>
      </c>
      <c r="E28" s="27" t="s">
        <v>200</v>
      </c>
      <c r="F28" s="15" t="n">
        <f aca="false">ROUND(8*INPUTS!$C$24,0)</f>
        <v>12</v>
      </c>
      <c r="G28" s="41"/>
      <c r="H28" s="15" t="n">
        <f aca="false">IF(ISNUMBER(G28),G28,F28)</f>
        <v>12</v>
      </c>
      <c r="I28" s="16" t="n">
        <f aca="false">IF(C28="Manager",INPUTS!$C$35,IF(C28="Coordinator",INPUTS!$C$36,INPUTS!$C$29*INPUTS!$C$35+INPUTS!$C$30*INPUTS!$C$36))</f>
        <v>65</v>
      </c>
      <c r="J28" s="16" t="n">
        <f aca="false">IF(C28="Manager",INPUTS!$C$33,IF(C28="Coordinator",INPUTS!$C$34,INPUTS!$C$29*INPUTS!$C$33+INPUTS!$C$30*INPUTS!$C$34))</f>
        <v>42</v>
      </c>
      <c r="K28" s="6" t="n">
        <f aca="false">IF(D28="Yes",H28*I28,0)</f>
        <v>0</v>
      </c>
      <c r="L28" s="6" t="n">
        <f aca="false">IF(D28="Yes",H28*J28,0)</f>
        <v>0</v>
      </c>
      <c r="M28" s="5" t="s">
        <v>185</v>
      </c>
    </row>
    <row r="29" customFormat="false" ht="15" hidden="false" customHeight="false" outlineLevel="0" collapsed="false">
      <c r="A29" s="50" t="n">
        <v>18</v>
      </c>
      <c r="B29" s="27" t="s">
        <v>222</v>
      </c>
      <c r="C29" s="5" t="s">
        <v>211</v>
      </c>
      <c r="D29" s="52" t="s">
        <v>102</v>
      </c>
      <c r="E29" s="27" t="s">
        <v>223</v>
      </c>
      <c r="F29" s="15" t="n">
        <f aca="false">ROUND(4*INPUTS!$C$24,0)</f>
        <v>6</v>
      </c>
      <c r="G29" s="41"/>
      <c r="H29" s="15" t="n">
        <f aca="false">IF(ISNUMBER(G29),G29,F29)</f>
        <v>6</v>
      </c>
      <c r="I29" s="16" t="n">
        <f aca="false">IF(C29="Manager",INPUTS!$C$35,IF(C29="Coordinator",INPUTS!$C$36,INPUTS!$C$29*INPUTS!$C$35+INPUTS!$C$30*INPUTS!$C$36))</f>
        <v>65</v>
      </c>
      <c r="J29" s="16" t="n">
        <f aca="false">IF(C29="Manager",INPUTS!$C$33,IF(C29="Coordinator",INPUTS!$C$34,INPUTS!$C$29*INPUTS!$C$33+INPUTS!$C$30*INPUTS!$C$34))</f>
        <v>42</v>
      </c>
      <c r="K29" s="6" t="n">
        <f aca="false">IF(D29="Yes",H29*I29,0)</f>
        <v>0</v>
      </c>
      <c r="L29" s="6" t="n">
        <f aca="false">IF(D29="Yes",H29*J29,0)</f>
        <v>0</v>
      </c>
      <c r="M29" s="5" t="s">
        <v>185</v>
      </c>
    </row>
    <row r="30" customFormat="false" ht="15" hidden="false" customHeight="false" outlineLevel="0" collapsed="false">
      <c r="A30" s="50" t="n">
        <v>19</v>
      </c>
      <c r="B30" s="27" t="s">
        <v>224</v>
      </c>
      <c r="C30" s="5" t="s">
        <v>211</v>
      </c>
      <c r="D30" s="52" t="s">
        <v>102</v>
      </c>
      <c r="E30" s="27" t="s">
        <v>225</v>
      </c>
      <c r="F30" s="15" t="n">
        <f aca="false">ROUND(3*INPUTS!$C$24,0)</f>
        <v>5</v>
      </c>
      <c r="G30" s="41"/>
      <c r="H30" s="15" t="n">
        <f aca="false">IF(ISNUMBER(G30),G30,F30)</f>
        <v>5</v>
      </c>
      <c r="I30" s="16" t="n">
        <f aca="false">IF(C30="Manager",INPUTS!$C$35,IF(C30="Coordinator",INPUTS!$C$36,INPUTS!$C$29*INPUTS!$C$35+INPUTS!$C$30*INPUTS!$C$36))</f>
        <v>65</v>
      </c>
      <c r="J30" s="16" t="n">
        <f aca="false">IF(C30="Manager",INPUTS!$C$33,IF(C30="Coordinator",INPUTS!$C$34,INPUTS!$C$29*INPUTS!$C$33+INPUTS!$C$30*INPUTS!$C$34))</f>
        <v>42</v>
      </c>
      <c r="K30" s="6" t="n">
        <f aca="false">IF(D30="Yes",H30*I30,0)</f>
        <v>0</v>
      </c>
      <c r="L30" s="6" t="n">
        <f aca="false">IF(D30="Yes",H30*J30,0)</f>
        <v>0</v>
      </c>
      <c r="M30" s="5" t="s">
        <v>185</v>
      </c>
    </row>
    <row r="31" customFormat="false" ht="15" hidden="false" customHeight="false" outlineLevel="0" collapsed="false">
      <c r="A31" s="50" t="n">
        <v>20</v>
      </c>
      <c r="B31" s="27" t="s">
        <v>226</v>
      </c>
      <c r="C31" s="5" t="s">
        <v>211</v>
      </c>
      <c r="D31" s="52" t="s">
        <v>102</v>
      </c>
      <c r="E31" s="27" t="s">
        <v>183</v>
      </c>
      <c r="F31" s="15" t="n">
        <f aca="false">ROUND(5*INPUTS!$C$24,0)</f>
        <v>8</v>
      </c>
      <c r="G31" s="41"/>
      <c r="H31" s="15" t="n">
        <f aca="false">IF(ISNUMBER(G31),G31,F31)</f>
        <v>8</v>
      </c>
      <c r="I31" s="16" t="n">
        <f aca="false">IF(C31="Manager",INPUTS!$C$35,IF(C31="Coordinator",INPUTS!$C$36,INPUTS!$C$29*INPUTS!$C$35+INPUTS!$C$30*INPUTS!$C$36))</f>
        <v>65</v>
      </c>
      <c r="J31" s="16" t="n">
        <f aca="false">IF(C31="Manager",INPUTS!$C$33,IF(C31="Coordinator",INPUTS!$C$34,INPUTS!$C$29*INPUTS!$C$33+INPUTS!$C$30*INPUTS!$C$34))</f>
        <v>42</v>
      </c>
      <c r="K31" s="6" t="n">
        <f aca="false">IF(D31="Yes",H31*I31,0)</f>
        <v>0</v>
      </c>
      <c r="L31" s="6" t="n">
        <f aca="false">IF(D31="Yes",H31*J31,0)</f>
        <v>0</v>
      </c>
      <c r="M31" s="5" t="s">
        <v>185</v>
      </c>
    </row>
    <row r="32" customFormat="false" ht="15" hidden="false" customHeight="false" outlineLevel="0" collapsed="false">
      <c r="A32" s="50" t="n">
        <v>21</v>
      </c>
      <c r="B32" s="27" t="s">
        <v>227</v>
      </c>
      <c r="C32" s="5" t="s">
        <v>211</v>
      </c>
      <c r="D32" s="52" t="s">
        <v>102</v>
      </c>
      <c r="E32" s="27" t="s">
        <v>225</v>
      </c>
      <c r="F32" s="15" t="n">
        <f aca="false">ROUND(3*INPUTS!$C$24,0)</f>
        <v>5</v>
      </c>
      <c r="G32" s="41"/>
      <c r="H32" s="15" t="n">
        <f aca="false">IF(ISNUMBER(G32),G32,F32)</f>
        <v>5</v>
      </c>
      <c r="I32" s="16" t="n">
        <f aca="false">IF(C32="Manager",INPUTS!$C$35,IF(C32="Coordinator",INPUTS!$C$36,INPUTS!$C$29*INPUTS!$C$35+INPUTS!$C$30*INPUTS!$C$36))</f>
        <v>65</v>
      </c>
      <c r="J32" s="16" t="n">
        <f aca="false">IF(C32="Manager",INPUTS!$C$33,IF(C32="Coordinator",INPUTS!$C$34,INPUTS!$C$29*INPUTS!$C$33+INPUTS!$C$30*INPUTS!$C$34))</f>
        <v>42</v>
      </c>
      <c r="K32" s="6" t="n">
        <f aca="false">IF(D32="Yes",H32*I32,0)</f>
        <v>0</v>
      </c>
      <c r="L32" s="6" t="n">
        <f aca="false">IF(D32="Yes",H32*J32,0)</f>
        <v>0</v>
      </c>
      <c r="M32" s="5" t="s">
        <v>185</v>
      </c>
    </row>
    <row r="33" customFormat="false" ht="16.5" hidden="false" customHeight="true" outlineLevel="0" collapsed="false">
      <c r="A33" s="49"/>
      <c r="B33" s="49" t="s">
        <v>188</v>
      </c>
      <c r="C33" s="49"/>
      <c r="D33" s="49"/>
      <c r="E33" s="49"/>
      <c r="F33" s="49"/>
      <c r="G33" s="49"/>
      <c r="H33" s="49"/>
      <c r="I33" s="49"/>
      <c r="J33" s="49"/>
      <c r="K33" s="49"/>
      <c r="L33" s="49"/>
      <c r="M33" s="49"/>
    </row>
    <row r="34" customFormat="false" ht="15" hidden="false" customHeight="false" outlineLevel="0" collapsed="false">
      <c r="A34" s="50" t="n">
        <v>22</v>
      </c>
      <c r="B34" s="27" t="s">
        <v>228</v>
      </c>
      <c r="C34" s="5" t="s">
        <v>211</v>
      </c>
      <c r="D34" s="52" t="s">
        <v>169</v>
      </c>
      <c r="E34" s="27" t="s">
        <v>229</v>
      </c>
      <c r="F34" s="15" t="n">
        <f aca="false">ROUND(5*INPUTS!$C$14,0)</f>
        <v>25</v>
      </c>
      <c r="G34" s="41"/>
      <c r="H34" s="15" t="n">
        <f aca="false">IF(ISNUMBER(G34),G34,F34)</f>
        <v>25</v>
      </c>
      <c r="I34" s="16" t="n">
        <f aca="false">IF(C34="Manager",INPUTS!$C$35,IF(C34="Coordinator",INPUTS!$C$36,INPUTS!$C$29*INPUTS!$C$35+INPUTS!$C$30*INPUTS!$C$36))</f>
        <v>65</v>
      </c>
      <c r="J34" s="16" t="n">
        <f aca="false">IF(C34="Manager",INPUTS!$C$33,IF(C34="Coordinator",INPUTS!$C$34,INPUTS!$C$29*INPUTS!$C$33+INPUTS!$C$30*INPUTS!$C$34))</f>
        <v>42</v>
      </c>
      <c r="K34" s="6" t="n">
        <f aca="false">IF(D34="Yes",H34*I34,0)</f>
        <v>1625</v>
      </c>
      <c r="L34" s="6" t="n">
        <f aca="false">IF(D34="Yes",H34*J34,0)</f>
        <v>1050</v>
      </c>
      <c r="M34" s="5" t="s">
        <v>188</v>
      </c>
    </row>
    <row r="35" customFormat="false" ht="15" hidden="false" customHeight="false" outlineLevel="0" collapsed="false">
      <c r="A35" s="50" t="n">
        <v>23</v>
      </c>
      <c r="B35" s="27" t="s">
        <v>230</v>
      </c>
      <c r="C35" s="5" t="s">
        <v>211</v>
      </c>
      <c r="D35" s="52" t="s">
        <v>169</v>
      </c>
      <c r="E35" s="27" t="s">
        <v>190</v>
      </c>
      <c r="F35" s="15" t="n">
        <f aca="false">ROUND(10*INPUTS!$C$24,0)</f>
        <v>15</v>
      </c>
      <c r="G35" s="41"/>
      <c r="H35" s="15" t="n">
        <f aca="false">IF(ISNUMBER(G35),G35,F35)</f>
        <v>15</v>
      </c>
      <c r="I35" s="16" t="n">
        <f aca="false">IF(C35="Manager",INPUTS!$C$35,IF(C35="Coordinator",INPUTS!$C$36,INPUTS!$C$29*INPUTS!$C$35+INPUTS!$C$30*INPUTS!$C$36))</f>
        <v>65</v>
      </c>
      <c r="J35" s="16" t="n">
        <f aca="false">IF(C35="Manager",INPUTS!$C$33,IF(C35="Coordinator",INPUTS!$C$34,INPUTS!$C$29*INPUTS!$C$33+INPUTS!$C$30*INPUTS!$C$34))</f>
        <v>42</v>
      </c>
      <c r="K35" s="6" t="n">
        <f aca="false">IF(D35="Yes",H35*I35,0)</f>
        <v>975</v>
      </c>
      <c r="L35" s="6" t="n">
        <f aca="false">IF(D35="Yes",H35*J35,0)</f>
        <v>630</v>
      </c>
      <c r="M35" s="5" t="s">
        <v>188</v>
      </c>
    </row>
    <row r="36" customFormat="false" ht="16.5" hidden="false" customHeight="true" outlineLevel="0" collapsed="false">
      <c r="A36" s="49"/>
      <c r="B36" s="49" t="s">
        <v>191</v>
      </c>
      <c r="C36" s="49"/>
      <c r="D36" s="49"/>
      <c r="E36" s="49"/>
      <c r="F36" s="49"/>
      <c r="G36" s="49"/>
      <c r="H36" s="49"/>
      <c r="I36" s="49"/>
      <c r="J36" s="49"/>
      <c r="K36" s="49"/>
      <c r="L36" s="49"/>
      <c r="M36" s="49"/>
    </row>
    <row r="37" customFormat="false" ht="15" hidden="false" customHeight="false" outlineLevel="0" collapsed="false">
      <c r="A37" s="50" t="n">
        <v>24</v>
      </c>
      <c r="B37" s="27" t="s">
        <v>231</v>
      </c>
      <c r="C37" s="5" t="s">
        <v>174</v>
      </c>
      <c r="D37" s="52" t="s">
        <v>169</v>
      </c>
      <c r="E37" s="27" t="s">
        <v>183</v>
      </c>
      <c r="F37" s="15" t="n">
        <f aca="false">ROUND(5*INPUTS!$C$24,0)</f>
        <v>8</v>
      </c>
      <c r="G37" s="41"/>
      <c r="H37" s="15" t="n">
        <f aca="false">IF(ISNUMBER(G37),G37,F37)</f>
        <v>8</v>
      </c>
      <c r="I37" s="16" t="n">
        <f aca="false">IF(C37="Manager",INPUTS!$C$35,IF(C37="Coordinator",INPUTS!$C$36,INPUTS!$C$29*INPUTS!$C$35+INPUTS!$C$30*INPUTS!$C$36))</f>
        <v>90</v>
      </c>
      <c r="J37" s="16" t="n">
        <f aca="false">IF(C37="Manager",INPUTS!$C$33,IF(C37="Coordinator",INPUTS!$C$34,INPUTS!$C$29*INPUTS!$C$33+INPUTS!$C$30*INPUTS!$C$34))</f>
        <v>60</v>
      </c>
      <c r="K37" s="6" t="n">
        <f aca="false">IF(D37="Yes",H37*I37,0)</f>
        <v>720</v>
      </c>
      <c r="L37" s="6" t="n">
        <f aca="false">IF(D37="Yes",H37*J37,0)</f>
        <v>480</v>
      </c>
      <c r="M37" s="5" t="s">
        <v>191</v>
      </c>
    </row>
    <row r="38" customFormat="false" ht="15" hidden="false" customHeight="false" outlineLevel="0" collapsed="false">
      <c r="A38" s="50" t="n">
        <v>25</v>
      </c>
      <c r="B38" s="27" t="s">
        <v>232</v>
      </c>
      <c r="C38" s="5" t="s">
        <v>174</v>
      </c>
      <c r="D38" s="52" t="s">
        <v>169</v>
      </c>
      <c r="E38" s="27" t="s">
        <v>223</v>
      </c>
      <c r="F38" s="15" t="n">
        <f aca="false">ROUND(4*INPUTS!$C$24,0)</f>
        <v>6</v>
      </c>
      <c r="G38" s="41"/>
      <c r="H38" s="15" t="n">
        <f aca="false">IF(ISNUMBER(G38),G38,F38)</f>
        <v>6</v>
      </c>
      <c r="I38" s="16" t="n">
        <f aca="false">IF(C38="Manager",INPUTS!$C$35,IF(C38="Coordinator",INPUTS!$C$36,INPUTS!$C$29*INPUTS!$C$35+INPUTS!$C$30*INPUTS!$C$36))</f>
        <v>90</v>
      </c>
      <c r="J38" s="16" t="n">
        <f aca="false">IF(C38="Manager",INPUTS!$C$33,IF(C38="Coordinator",INPUTS!$C$34,INPUTS!$C$29*INPUTS!$C$33+INPUTS!$C$30*INPUTS!$C$34))</f>
        <v>60</v>
      </c>
      <c r="K38" s="6" t="n">
        <f aca="false">IF(D38="Yes",H38*I38,0)</f>
        <v>540</v>
      </c>
      <c r="L38" s="6" t="n">
        <f aca="false">IF(D38="Yes",H38*J38,0)</f>
        <v>360</v>
      </c>
      <c r="M38" s="5" t="s">
        <v>191</v>
      </c>
    </row>
    <row r="39" customFormat="false" ht="16.5" hidden="false" customHeight="true" outlineLevel="0" collapsed="false">
      <c r="A39" s="49"/>
      <c r="B39" s="49" t="s">
        <v>192</v>
      </c>
      <c r="C39" s="49"/>
      <c r="D39" s="49"/>
      <c r="E39" s="49"/>
      <c r="F39" s="49"/>
      <c r="G39" s="49"/>
      <c r="H39" s="49"/>
      <c r="I39" s="49"/>
      <c r="J39" s="49"/>
      <c r="K39" s="49"/>
      <c r="L39" s="49"/>
      <c r="M39" s="49"/>
    </row>
    <row r="40" customFormat="false" ht="15" hidden="false" customHeight="false" outlineLevel="0" collapsed="false">
      <c r="A40" s="50" t="n">
        <v>26</v>
      </c>
      <c r="B40" s="27" t="s">
        <v>233</v>
      </c>
      <c r="C40" s="5" t="s">
        <v>211</v>
      </c>
      <c r="D40" s="52" t="s">
        <v>102</v>
      </c>
      <c r="E40" s="27" t="s">
        <v>234</v>
      </c>
      <c r="F40" s="15" t="n">
        <f aca="false">ROUND(12*INPUTS!$C$24,0)</f>
        <v>18</v>
      </c>
      <c r="G40" s="41"/>
      <c r="H40" s="15" t="n">
        <f aca="false">IF(ISNUMBER(G40),G40,F40)</f>
        <v>18</v>
      </c>
      <c r="I40" s="16" t="n">
        <f aca="false">IF(C40="Manager",INPUTS!$C$35,IF(C40="Coordinator",INPUTS!$C$36,INPUTS!$C$29*INPUTS!$C$35+INPUTS!$C$30*INPUTS!$C$36))</f>
        <v>65</v>
      </c>
      <c r="J40" s="16" t="n">
        <f aca="false">IF(C40="Manager",INPUTS!$C$33,IF(C40="Coordinator",INPUTS!$C$34,INPUTS!$C$29*INPUTS!$C$33+INPUTS!$C$30*INPUTS!$C$34))</f>
        <v>42</v>
      </c>
      <c r="K40" s="6" t="n">
        <f aca="false">IF(D40="Yes",H40*I40,0)</f>
        <v>0</v>
      </c>
      <c r="L40" s="6" t="n">
        <f aca="false">IF(D40="Yes",H40*J40,0)</f>
        <v>0</v>
      </c>
      <c r="M40" s="5" t="s">
        <v>192</v>
      </c>
    </row>
    <row r="41" customFormat="false" ht="15" hidden="false" customHeight="false" outlineLevel="0" collapsed="false">
      <c r="A41" s="50" t="n">
        <v>27</v>
      </c>
      <c r="B41" s="27" t="s">
        <v>235</v>
      </c>
      <c r="C41" s="5" t="s">
        <v>211</v>
      </c>
      <c r="D41" s="52" t="s">
        <v>102</v>
      </c>
      <c r="E41" s="27" t="s">
        <v>200</v>
      </c>
      <c r="F41" s="15" t="n">
        <f aca="false">ROUND(8*INPUTS!$C$24,0)</f>
        <v>12</v>
      </c>
      <c r="G41" s="41"/>
      <c r="H41" s="15" t="n">
        <f aca="false">IF(ISNUMBER(G41),G41,F41)</f>
        <v>12</v>
      </c>
      <c r="I41" s="16" t="n">
        <f aca="false">IF(C41="Manager",INPUTS!$C$35,IF(C41="Coordinator",INPUTS!$C$36,INPUTS!$C$29*INPUTS!$C$35+INPUTS!$C$30*INPUTS!$C$36))</f>
        <v>65</v>
      </c>
      <c r="J41" s="16" t="n">
        <f aca="false">IF(C41="Manager",INPUTS!$C$33,IF(C41="Coordinator",INPUTS!$C$34,INPUTS!$C$29*INPUTS!$C$33+INPUTS!$C$30*INPUTS!$C$34))</f>
        <v>42</v>
      </c>
      <c r="K41" s="6" t="n">
        <f aca="false">IF(D41="Yes",H41*I41,0)</f>
        <v>0</v>
      </c>
      <c r="L41" s="6" t="n">
        <f aca="false">IF(D41="Yes",H41*J41,0)</f>
        <v>0</v>
      </c>
      <c r="M41" s="5" t="s">
        <v>192</v>
      </c>
    </row>
    <row r="42" customFormat="false" ht="16.5" hidden="false" customHeight="true" outlineLevel="0" collapsed="false">
      <c r="A42" s="49"/>
      <c r="B42" s="49" t="s">
        <v>195</v>
      </c>
      <c r="C42" s="49"/>
      <c r="D42" s="49"/>
      <c r="E42" s="49"/>
      <c r="F42" s="49"/>
      <c r="G42" s="49"/>
      <c r="H42" s="49"/>
      <c r="I42" s="49"/>
      <c r="J42" s="49"/>
      <c r="K42" s="49"/>
      <c r="L42" s="49"/>
      <c r="M42" s="49"/>
    </row>
    <row r="43" customFormat="false" ht="15" hidden="false" customHeight="false" outlineLevel="0" collapsed="false">
      <c r="A43" s="50" t="n">
        <v>28</v>
      </c>
      <c r="B43" s="27" t="s">
        <v>236</v>
      </c>
      <c r="C43" s="5" t="s">
        <v>211</v>
      </c>
      <c r="D43" s="52" t="s">
        <v>169</v>
      </c>
      <c r="E43" s="27" t="s">
        <v>200</v>
      </c>
      <c r="F43" s="15" t="n">
        <f aca="false">ROUND(8*INPUTS!$C$24,0)</f>
        <v>12</v>
      </c>
      <c r="G43" s="41"/>
      <c r="H43" s="15" t="n">
        <f aca="false">IF(ISNUMBER(G43),G43,F43)</f>
        <v>12</v>
      </c>
      <c r="I43" s="16" t="n">
        <f aca="false">IF(C43="Manager",INPUTS!$C$35,IF(C43="Coordinator",INPUTS!$C$36,INPUTS!$C$29*INPUTS!$C$35+INPUTS!$C$30*INPUTS!$C$36))</f>
        <v>65</v>
      </c>
      <c r="J43" s="16" t="n">
        <f aca="false">IF(C43="Manager",INPUTS!$C$33,IF(C43="Coordinator",INPUTS!$C$34,INPUTS!$C$29*INPUTS!$C$33+INPUTS!$C$30*INPUTS!$C$34))</f>
        <v>42</v>
      </c>
      <c r="K43" s="6" t="n">
        <f aca="false">IF(D43="Yes",H43*I43,0)</f>
        <v>780</v>
      </c>
      <c r="L43" s="6" t="n">
        <f aca="false">IF(D43="Yes",H43*J43,0)</f>
        <v>504</v>
      </c>
      <c r="M43" s="5" t="s">
        <v>195</v>
      </c>
    </row>
    <row r="44" customFormat="false" ht="15" hidden="false" customHeight="false" outlineLevel="0" collapsed="false">
      <c r="A44" s="50" t="n">
        <v>29</v>
      </c>
      <c r="B44" s="27" t="s">
        <v>237</v>
      </c>
      <c r="C44" s="5" t="s">
        <v>211</v>
      </c>
      <c r="D44" s="52" t="s">
        <v>169</v>
      </c>
      <c r="E44" s="27" t="s">
        <v>238</v>
      </c>
      <c r="F44" s="15" t="n">
        <f aca="false">ROUND(1*INPUTS!$C$12,0)</f>
        <v>20</v>
      </c>
      <c r="G44" s="41"/>
      <c r="H44" s="15" t="n">
        <f aca="false">IF(ISNUMBER(G44),G44,F44)</f>
        <v>20</v>
      </c>
      <c r="I44" s="16" t="n">
        <f aca="false">IF(C44="Manager",INPUTS!$C$35,IF(C44="Coordinator",INPUTS!$C$36,INPUTS!$C$29*INPUTS!$C$35+INPUTS!$C$30*INPUTS!$C$36))</f>
        <v>65</v>
      </c>
      <c r="J44" s="16" t="n">
        <f aca="false">IF(C44="Manager",INPUTS!$C$33,IF(C44="Coordinator",INPUTS!$C$34,INPUTS!$C$29*INPUTS!$C$33+INPUTS!$C$30*INPUTS!$C$34))</f>
        <v>42</v>
      </c>
      <c r="K44" s="6" t="n">
        <f aca="false">IF(D44="Yes",H44*I44,0)</f>
        <v>1300</v>
      </c>
      <c r="L44" s="6" t="n">
        <f aca="false">IF(D44="Yes",H44*J44,0)</f>
        <v>840</v>
      </c>
      <c r="M44" s="5" t="s">
        <v>195</v>
      </c>
    </row>
    <row r="45" customFormat="false" ht="16.5" hidden="false" customHeight="true" outlineLevel="0" collapsed="false">
      <c r="A45" s="49"/>
      <c r="B45" s="49" t="s">
        <v>198</v>
      </c>
      <c r="C45" s="49"/>
      <c r="D45" s="49"/>
      <c r="E45" s="49"/>
      <c r="F45" s="49"/>
      <c r="G45" s="49"/>
      <c r="H45" s="49"/>
      <c r="I45" s="49"/>
      <c r="J45" s="49"/>
      <c r="K45" s="49"/>
      <c r="L45" s="49"/>
      <c r="M45" s="49"/>
    </row>
    <row r="46" customFormat="false" ht="15" hidden="false" customHeight="false" outlineLevel="0" collapsed="false">
      <c r="A46" s="50" t="n">
        <v>30</v>
      </c>
      <c r="B46" s="27" t="s">
        <v>239</v>
      </c>
      <c r="C46" s="5" t="s">
        <v>211</v>
      </c>
      <c r="D46" s="52" t="s">
        <v>102</v>
      </c>
      <c r="E46" s="27" t="s">
        <v>240</v>
      </c>
      <c r="F46" s="15" t="n">
        <f aca="false">ROUND(0.7*INPUTS!$C$13,0)</f>
        <v>11</v>
      </c>
      <c r="G46" s="41"/>
      <c r="H46" s="15" t="n">
        <f aca="false">IF(ISNUMBER(G46),G46,F46)</f>
        <v>11</v>
      </c>
      <c r="I46" s="16" t="n">
        <f aca="false">IF(C46="Manager",INPUTS!$C$35,IF(C46="Coordinator",INPUTS!$C$36,INPUTS!$C$29*INPUTS!$C$35+INPUTS!$C$30*INPUTS!$C$36))</f>
        <v>65</v>
      </c>
      <c r="J46" s="16" t="n">
        <f aca="false">IF(C46="Manager",INPUTS!$C$33,IF(C46="Coordinator",INPUTS!$C$34,INPUTS!$C$29*INPUTS!$C$33+INPUTS!$C$30*INPUTS!$C$34))</f>
        <v>42</v>
      </c>
      <c r="K46" s="6" t="n">
        <f aca="false">IF(D46="Yes",H46*I46,0)</f>
        <v>0</v>
      </c>
      <c r="L46" s="6" t="n">
        <f aca="false">IF(D46="Yes",H46*J46,0)</f>
        <v>0</v>
      </c>
      <c r="M46" s="5" t="s">
        <v>198</v>
      </c>
    </row>
    <row r="47" customFormat="false" ht="15" hidden="false" customHeight="false" outlineLevel="0" collapsed="false">
      <c r="A47" s="50" t="n">
        <v>31</v>
      </c>
      <c r="B47" s="27" t="s">
        <v>241</v>
      </c>
      <c r="C47" s="5" t="s">
        <v>211</v>
      </c>
      <c r="D47" s="52" t="s">
        <v>102</v>
      </c>
      <c r="E47" s="27" t="s">
        <v>242</v>
      </c>
      <c r="F47" s="15" t="n">
        <f aca="false">ROUND(0.3*INPUTS!$C$13,0)</f>
        <v>5</v>
      </c>
      <c r="G47" s="41"/>
      <c r="H47" s="15" t="n">
        <f aca="false">IF(ISNUMBER(G47),G47,F47)</f>
        <v>5</v>
      </c>
      <c r="I47" s="16" t="n">
        <f aca="false">IF(C47="Manager",INPUTS!$C$35,IF(C47="Coordinator",INPUTS!$C$36,INPUTS!$C$29*INPUTS!$C$35+INPUTS!$C$30*INPUTS!$C$36))</f>
        <v>65</v>
      </c>
      <c r="J47" s="16" t="n">
        <f aca="false">IF(C47="Manager",INPUTS!$C$33,IF(C47="Coordinator",INPUTS!$C$34,INPUTS!$C$29*INPUTS!$C$33+INPUTS!$C$30*INPUTS!$C$34))</f>
        <v>42</v>
      </c>
      <c r="K47" s="6" t="n">
        <f aca="false">IF(D47="Yes",H47*I47,0)</f>
        <v>0</v>
      </c>
      <c r="L47" s="6" t="n">
        <f aca="false">IF(D47="Yes",H47*J47,0)</f>
        <v>0</v>
      </c>
      <c r="M47" s="5" t="s">
        <v>198</v>
      </c>
    </row>
    <row r="48" customFormat="false" ht="16.5" hidden="false" customHeight="true" outlineLevel="0" collapsed="false">
      <c r="A48" s="49"/>
      <c r="B48" s="49" t="s">
        <v>201</v>
      </c>
      <c r="C48" s="49"/>
      <c r="D48" s="49"/>
      <c r="E48" s="49"/>
      <c r="F48" s="49"/>
      <c r="G48" s="49"/>
      <c r="H48" s="49"/>
      <c r="I48" s="49"/>
      <c r="J48" s="49"/>
      <c r="K48" s="49"/>
      <c r="L48" s="49"/>
      <c r="M48" s="49"/>
    </row>
    <row r="49" customFormat="false" ht="15" hidden="false" customHeight="false" outlineLevel="0" collapsed="false">
      <c r="A49" s="50" t="n">
        <v>32</v>
      </c>
      <c r="B49" s="27" t="s">
        <v>243</v>
      </c>
      <c r="C49" s="5" t="s">
        <v>174</v>
      </c>
      <c r="D49" s="52" t="s">
        <v>169</v>
      </c>
      <c r="E49" s="27" t="s">
        <v>215</v>
      </c>
      <c r="F49" s="15" t="n">
        <f aca="false">ROUND(18*INPUTS!$C$24,0)</f>
        <v>28</v>
      </c>
      <c r="G49" s="41"/>
      <c r="H49" s="15" t="n">
        <f aca="false">IF(ISNUMBER(G49),G49,F49)</f>
        <v>28</v>
      </c>
      <c r="I49" s="16" t="n">
        <f aca="false">IF(C49="Manager",INPUTS!$C$35,IF(C49="Coordinator",INPUTS!$C$36,INPUTS!$C$29*INPUTS!$C$35+INPUTS!$C$30*INPUTS!$C$36))</f>
        <v>90</v>
      </c>
      <c r="J49" s="16" t="n">
        <f aca="false">IF(C49="Manager",INPUTS!$C$33,IF(C49="Coordinator",INPUTS!$C$34,INPUTS!$C$29*INPUTS!$C$33+INPUTS!$C$30*INPUTS!$C$34))</f>
        <v>60</v>
      </c>
      <c r="K49" s="6" t="n">
        <f aca="false">IF(D49="Yes",H49*I49,0)</f>
        <v>2520</v>
      </c>
      <c r="L49" s="6" t="n">
        <f aca="false">IF(D49="Yes",H49*J49,0)</f>
        <v>1680</v>
      </c>
      <c r="M49" s="5" t="s">
        <v>201</v>
      </c>
    </row>
    <row r="50" customFormat="false" ht="15" hidden="false" customHeight="false" outlineLevel="0" collapsed="false">
      <c r="A50" s="50" t="n">
        <v>33</v>
      </c>
      <c r="B50" s="27" t="s">
        <v>244</v>
      </c>
      <c r="C50" s="5" t="s">
        <v>174</v>
      </c>
      <c r="D50" s="52" t="s">
        <v>169</v>
      </c>
      <c r="E50" s="27" t="s">
        <v>245</v>
      </c>
      <c r="F50" s="15" t="n">
        <f aca="false">ROUND(15*INPUTS!$C$24,0)</f>
        <v>23</v>
      </c>
      <c r="G50" s="41"/>
      <c r="H50" s="15" t="n">
        <f aca="false">IF(ISNUMBER(G50),G50,F50)</f>
        <v>23</v>
      </c>
      <c r="I50" s="16" t="n">
        <f aca="false">IF(C50="Manager",INPUTS!$C$35,IF(C50="Coordinator",INPUTS!$C$36,INPUTS!$C$29*INPUTS!$C$35+INPUTS!$C$30*INPUTS!$C$36))</f>
        <v>90</v>
      </c>
      <c r="J50" s="16" t="n">
        <f aca="false">IF(C50="Manager",INPUTS!$C$33,IF(C50="Coordinator",INPUTS!$C$34,INPUTS!$C$29*INPUTS!$C$33+INPUTS!$C$30*INPUTS!$C$34))</f>
        <v>60</v>
      </c>
      <c r="K50" s="6" t="n">
        <f aca="false">IF(D50="Yes",H50*I50,0)</f>
        <v>2070</v>
      </c>
      <c r="L50" s="6" t="n">
        <f aca="false">IF(D50="Yes",H50*J50,0)</f>
        <v>1380</v>
      </c>
      <c r="M50" s="5" t="s">
        <v>201</v>
      </c>
    </row>
    <row r="51" customFormat="false" ht="15" hidden="false" customHeight="false" outlineLevel="0" collapsed="false">
      <c r="A51" s="50" t="n">
        <v>34</v>
      </c>
      <c r="B51" s="27" t="s">
        <v>246</v>
      </c>
      <c r="C51" s="5" t="s">
        <v>174</v>
      </c>
      <c r="D51" s="52" t="s">
        <v>169</v>
      </c>
      <c r="E51" s="27" t="s">
        <v>200</v>
      </c>
      <c r="F51" s="15" t="n">
        <f aca="false">ROUND(8*INPUTS!$C$24,0)</f>
        <v>12</v>
      </c>
      <c r="G51" s="41"/>
      <c r="H51" s="15" t="n">
        <f aca="false">IF(ISNUMBER(G51),G51,F51)</f>
        <v>12</v>
      </c>
      <c r="I51" s="16" t="n">
        <f aca="false">IF(C51="Manager",INPUTS!$C$35,IF(C51="Coordinator",INPUTS!$C$36,INPUTS!$C$29*INPUTS!$C$35+INPUTS!$C$30*INPUTS!$C$36))</f>
        <v>90</v>
      </c>
      <c r="J51" s="16" t="n">
        <f aca="false">IF(C51="Manager",INPUTS!$C$33,IF(C51="Coordinator",INPUTS!$C$34,INPUTS!$C$29*INPUTS!$C$33+INPUTS!$C$30*INPUTS!$C$34))</f>
        <v>60</v>
      </c>
      <c r="K51" s="6" t="n">
        <f aca="false">IF(D51="Yes",H51*I51,0)</f>
        <v>1080</v>
      </c>
      <c r="L51" s="6" t="n">
        <f aca="false">IF(D51="Yes",H51*J51,0)</f>
        <v>720</v>
      </c>
      <c r="M51" s="5" t="s">
        <v>201</v>
      </c>
    </row>
    <row r="52" customFormat="false" ht="15" hidden="false" customHeight="false" outlineLevel="0" collapsed="false">
      <c r="A52" s="50" t="n">
        <v>35</v>
      </c>
      <c r="B52" s="27" t="s">
        <v>247</v>
      </c>
      <c r="C52" s="5" t="s">
        <v>174</v>
      </c>
      <c r="D52" s="52" t="s">
        <v>102</v>
      </c>
      <c r="E52" s="27" t="s">
        <v>200</v>
      </c>
      <c r="F52" s="15" t="n">
        <f aca="false">ROUND(8*INPUTS!$C$24,0)</f>
        <v>12</v>
      </c>
      <c r="G52" s="41"/>
      <c r="H52" s="15" t="n">
        <f aca="false">IF(ISNUMBER(G52),G52,F52)</f>
        <v>12</v>
      </c>
      <c r="I52" s="16" t="n">
        <f aca="false">IF(C52="Manager",INPUTS!$C$35,IF(C52="Coordinator",INPUTS!$C$36,INPUTS!$C$29*INPUTS!$C$35+INPUTS!$C$30*INPUTS!$C$36))</f>
        <v>90</v>
      </c>
      <c r="J52" s="16" t="n">
        <f aca="false">IF(C52="Manager",INPUTS!$C$33,IF(C52="Coordinator",INPUTS!$C$34,INPUTS!$C$29*INPUTS!$C$33+INPUTS!$C$30*INPUTS!$C$34))</f>
        <v>60</v>
      </c>
      <c r="K52" s="6" t="n">
        <f aca="false">IF(D52="Yes",H52*I52,0)</f>
        <v>0</v>
      </c>
      <c r="L52" s="6" t="n">
        <f aca="false">IF(D52="Yes",H52*J52,0)</f>
        <v>0</v>
      </c>
      <c r="M52" s="5" t="s">
        <v>201</v>
      </c>
    </row>
    <row r="53" customFormat="false" ht="15" hidden="false" customHeight="false" outlineLevel="0" collapsed="false">
      <c r="A53" s="50" t="n">
        <v>36</v>
      </c>
      <c r="B53" s="27" t="s">
        <v>248</v>
      </c>
      <c r="C53" s="5" t="s">
        <v>174</v>
      </c>
      <c r="D53" s="52" t="s">
        <v>102</v>
      </c>
      <c r="E53" s="27" t="s">
        <v>190</v>
      </c>
      <c r="F53" s="15" t="n">
        <f aca="false">ROUND(10*INPUTS!$C$24,0)</f>
        <v>15</v>
      </c>
      <c r="G53" s="41"/>
      <c r="H53" s="15" t="n">
        <f aca="false">IF(ISNUMBER(G53),G53,F53)</f>
        <v>15</v>
      </c>
      <c r="I53" s="16" t="n">
        <f aca="false">IF(C53="Manager",INPUTS!$C$35,IF(C53="Coordinator",INPUTS!$C$36,INPUTS!$C$29*INPUTS!$C$35+INPUTS!$C$30*INPUTS!$C$36))</f>
        <v>90</v>
      </c>
      <c r="J53" s="16" t="n">
        <f aca="false">IF(C53="Manager",INPUTS!$C$33,IF(C53="Coordinator",INPUTS!$C$34,INPUTS!$C$29*INPUTS!$C$33+INPUTS!$C$30*INPUTS!$C$34))</f>
        <v>60</v>
      </c>
      <c r="K53" s="6" t="n">
        <f aca="false">IF(D53="Yes",H53*I53,0)</f>
        <v>0</v>
      </c>
      <c r="L53" s="6" t="n">
        <f aca="false">IF(D53="Yes",H53*J53,0)</f>
        <v>0</v>
      </c>
      <c r="M53" s="5" t="s">
        <v>201</v>
      </c>
    </row>
    <row r="54" customFormat="false" ht="16.5" hidden="false" customHeight="true" outlineLevel="0" collapsed="false">
      <c r="A54" s="49"/>
      <c r="B54" s="49" t="s">
        <v>204</v>
      </c>
      <c r="C54" s="49"/>
      <c r="D54" s="49"/>
      <c r="E54" s="49"/>
      <c r="F54" s="49"/>
      <c r="G54" s="49"/>
      <c r="H54" s="49"/>
      <c r="I54" s="49"/>
      <c r="J54" s="49"/>
      <c r="K54" s="49"/>
      <c r="L54" s="49"/>
      <c r="M54" s="49"/>
    </row>
    <row r="55" customFormat="false" ht="15" hidden="false" customHeight="false" outlineLevel="0" collapsed="false">
      <c r="A55" s="50" t="n">
        <v>37</v>
      </c>
      <c r="B55" s="27" t="s">
        <v>249</v>
      </c>
      <c r="C55" s="5" t="s">
        <v>211</v>
      </c>
      <c r="D55" s="52" t="s">
        <v>102</v>
      </c>
      <c r="E55" s="27" t="s">
        <v>225</v>
      </c>
      <c r="F55" s="15" t="n">
        <f aca="false">ROUND(3*INPUTS!$C$24,0)</f>
        <v>5</v>
      </c>
      <c r="G55" s="41"/>
      <c r="H55" s="15" t="n">
        <f aca="false">IF(ISNUMBER(G55),G55,F55)</f>
        <v>5</v>
      </c>
      <c r="I55" s="16" t="n">
        <f aca="false">IF(C55="Manager",INPUTS!$C$35,IF(C55="Coordinator",INPUTS!$C$36,INPUTS!$C$29*INPUTS!$C$35+INPUTS!$C$30*INPUTS!$C$36))</f>
        <v>65</v>
      </c>
      <c r="J55" s="16" t="n">
        <f aca="false">IF(C55="Manager",INPUTS!$C$33,IF(C55="Coordinator",INPUTS!$C$34,INPUTS!$C$29*INPUTS!$C$33+INPUTS!$C$30*INPUTS!$C$34))</f>
        <v>42</v>
      </c>
      <c r="K55" s="6" t="n">
        <f aca="false">IF(D55="Yes",H55*I55,0)</f>
        <v>0</v>
      </c>
      <c r="L55" s="6" t="n">
        <f aca="false">IF(D55="Yes",H55*J55,0)</f>
        <v>0</v>
      </c>
      <c r="M55" s="5" t="s">
        <v>204</v>
      </c>
    </row>
    <row r="56" customFormat="false" ht="15" hidden="false" customHeight="false" outlineLevel="0" collapsed="false">
      <c r="A56" s="50" t="n">
        <v>38</v>
      </c>
      <c r="B56" s="27" t="s">
        <v>250</v>
      </c>
      <c r="C56" s="5" t="s">
        <v>211</v>
      </c>
      <c r="D56" s="52" t="s">
        <v>102</v>
      </c>
      <c r="E56" s="27" t="s">
        <v>223</v>
      </c>
      <c r="F56" s="15" t="n">
        <f aca="false">ROUND(4*INPUTS!$C$24,0)</f>
        <v>6</v>
      </c>
      <c r="G56" s="41"/>
      <c r="H56" s="15" t="n">
        <f aca="false">IF(ISNUMBER(G56),G56,F56)</f>
        <v>6</v>
      </c>
      <c r="I56" s="16" t="n">
        <f aca="false">IF(C56="Manager",INPUTS!$C$35,IF(C56="Coordinator",INPUTS!$C$36,INPUTS!$C$29*INPUTS!$C$35+INPUTS!$C$30*INPUTS!$C$36))</f>
        <v>65</v>
      </c>
      <c r="J56" s="16" t="n">
        <f aca="false">IF(C56="Manager",INPUTS!$C$33,IF(C56="Coordinator",INPUTS!$C$34,INPUTS!$C$29*INPUTS!$C$33+INPUTS!$C$30*INPUTS!$C$34))</f>
        <v>42</v>
      </c>
      <c r="K56" s="6" t="n">
        <f aca="false">IF(D56="Yes",H56*I56,0)</f>
        <v>0</v>
      </c>
      <c r="L56" s="6" t="n">
        <f aca="false">IF(D56="Yes",H56*J56,0)</f>
        <v>0</v>
      </c>
      <c r="M56" s="5" t="s">
        <v>204</v>
      </c>
    </row>
    <row r="57" customFormat="false" ht="15" hidden="false" customHeight="false" outlineLevel="0" collapsed="false">
      <c r="A57" s="50" t="n">
        <v>39</v>
      </c>
      <c r="B57" s="27" t="s">
        <v>251</v>
      </c>
      <c r="C57" s="5" t="s">
        <v>211</v>
      </c>
      <c r="D57" s="52" t="s">
        <v>102</v>
      </c>
      <c r="E57" s="27" t="s">
        <v>223</v>
      </c>
      <c r="F57" s="15" t="n">
        <f aca="false">ROUND(4*INPUTS!$C$24,0)</f>
        <v>6</v>
      </c>
      <c r="G57" s="41"/>
      <c r="H57" s="15" t="n">
        <f aca="false">IF(ISNUMBER(G57),G57,F57)</f>
        <v>6</v>
      </c>
      <c r="I57" s="16" t="n">
        <f aca="false">IF(C57="Manager",INPUTS!$C$35,IF(C57="Coordinator",INPUTS!$C$36,INPUTS!$C$29*INPUTS!$C$35+INPUTS!$C$30*INPUTS!$C$36))</f>
        <v>65</v>
      </c>
      <c r="J57" s="16" t="n">
        <f aca="false">IF(C57="Manager",INPUTS!$C$33,IF(C57="Coordinator",INPUTS!$C$34,INPUTS!$C$29*INPUTS!$C$33+INPUTS!$C$30*INPUTS!$C$34))</f>
        <v>42</v>
      </c>
      <c r="K57" s="6" t="n">
        <f aca="false">IF(D57="Yes",H57*I57,0)</f>
        <v>0</v>
      </c>
      <c r="L57" s="6" t="n">
        <f aca="false">IF(D57="Yes",H57*J57,0)</f>
        <v>0</v>
      </c>
      <c r="M57" s="5" t="s">
        <v>204</v>
      </c>
    </row>
    <row r="58" customFormat="false" ht="15" hidden="false" customHeight="false" outlineLevel="0" collapsed="false">
      <c r="A58" s="50" t="n">
        <v>40</v>
      </c>
      <c r="B58" s="27" t="s">
        <v>252</v>
      </c>
      <c r="C58" s="5" t="s">
        <v>211</v>
      </c>
      <c r="D58" s="52" t="s">
        <v>102</v>
      </c>
      <c r="E58" s="27" t="s">
        <v>225</v>
      </c>
      <c r="F58" s="15" t="n">
        <f aca="false">ROUND(3*INPUTS!$C$24,0)</f>
        <v>5</v>
      </c>
      <c r="G58" s="41"/>
      <c r="H58" s="15" t="n">
        <f aca="false">IF(ISNUMBER(G58),G58,F58)</f>
        <v>5</v>
      </c>
      <c r="I58" s="16" t="n">
        <f aca="false">IF(C58="Manager",INPUTS!$C$35,IF(C58="Coordinator",INPUTS!$C$36,INPUTS!$C$29*INPUTS!$C$35+INPUTS!$C$30*INPUTS!$C$36))</f>
        <v>65</v>
      </c>
      <c r="J58" s="16" t="n">
        <f aca="false">IF(C58="Manager",INPUTS!$C$33,IF(C58="Coordinator",INPUTS!$C$34,INPUTS!$C$29*INPUTS!$C$33+INPUTS!$C$30*INPUTS!$C$34))</f>
        <v>42</v>
      </c>
      <c r="K58" s="6" t="n">
        <f aca="false">IF(D58="Yes",H58*I58,0)</f>
        <v>0</v>
      </c>
      <c r="L58" s="6" t="n">
        <f aca="false">IF(D58="Yes",H58*J58,0)</f>
        <v>0</v>
      </c>
      <c r="M58" s="5" t="s">
        <v>204</v>
      </c>
    </row>
    <row r="59" customFormat="false" ht="15" hidden="false" customHeight="false" outlineLevel="0" collapsed="false">
      <c r="A59" s="50" t="n">
        <v>41</v>
      </c>
      <c r="B59" s="27" t="s">
        <v>253</v>
      </c>
      <c r="C59" s="5" t="s">
        <v>211</v>
      </c>
      <c r="D59" s="52" t="s">
        <v>102</v>
      </c>
      <c r="E59" s="27" t="s">
        <v>225</v>
      </c>
      <c r="F59" s="15" t="n">
        <f aca="false">ROUND(3*INPUTS!$C$24,0)</f>
        <v>5</v>
      </c>
      <c r="G59" s="41"/>
      <c r="H59" s="15" t="n">
        <f aca="false">IF(ISNUMBER(G59),G59,F59)</f>
        <v>5</v>
      </c>
      <c r="I59" s="16" t="n">
        <f aca="false">IF(C59="Manager",INPUTS!$C$35,IF(C59="Coordinator",INPUTS!$C$36,INPUTS!$C$29*INPUTS!$C$35+INPUTS!$C$30*INPUTS!$C$36))</f>
        <v>65</v>
      </c>
      <c r="J59" s="16" t="n">
        <f aca="false">IF(C59="Manager",INPUTS!$C$33,IF(C59="Coordinator",INPUTS!$C$34,INPUTS!$C$29*INPUTS!$C$33+INPUTS!$C$30*INPUTS!$C$34))</f>
        <v>42</v>
      </c>
      <c r="K59" s="6" t="n">
        <f aca="false">IF(D59="Yes",H59*I59,0)</f>
        <v>0</v>
      </c>
      <c r="L59" s="6" t="n">
        <f aca="false">IF(D59="Yes",H59*J59,0)</f>
        <v>0</v>
      </c>
      <c r="M59" s="5" t="s">
        <v>204</v>
      </c>
    </row>
    <row r="60" customFormat="false" ht="15" hidden="false" customHeight="false" outlineLevel="0" collapsed="false">
      <c r="A60" s="50" t="n">
        <v>42</v>
      </c>
      <c r="B60" s="27" t="s">
        <v>254</v>
      </c>
      <c r="C60" s="5" t="s">
        <v>211</v>
      </c>
      <c r="D60" s="52" t="s">
        <v>102</v>
      </c>
      <c r="E60" s="27" t="s">
        <v>225</v>
      </c>
      <c r="F60" s="15" t="n">
        <f aca="false">ROUND(3*INPUTS!$C$24,0)</f>
        <v>5</v>
      </c>
      <c r="G60" s="41"/>
      <c r="H60" s="15" t="n">
        <f aca="false">IF(ISNUMBER(G60),G60,F60)</f>
        <v>5</v>
      </c>
      <c r="I60" s="16" t="n">
        <f aca="false">IF(C60="Manager",INPUTS!$C$35,IF(C60="Coordinator",INPUTS!$C$36,INPUTS!$C$29*INPUTS!$C$35+INPUTS!$C$30*INPUTS!$C$36))</f>
        <v>65</v>
      </c>
      <c r="J60" s="16" t="n">
        <f aca="false">IF(C60="Manager",INPUTS!$C$33,IF(C60="Coordinator",INPUTS!$C$34,INPUTS!$C$29*INPUTS!$C$33+INPUTS!$C$30*INPUTS!$C$34))</f>
        <v>42</v>
      </c>
      <c r="K60" s="6" t="n">
        <f aca="false">IF(D60="Yes",H60*I60,0)</f>
        <v>0</v>
      </c>
      <c r="L60" s="6" t="n">
        <f aca="false">IF(D60="Yes",H60*J60,0)</f>
        <v>0</v>
      </c>
      <c r="M60" s="5" t="s">
        <v>204</v>
      </c>
    </row>
    <row r="61" customFormat="false" ht="15" hidden="false" customHeight="false" outlineLevel="0" collapsed="false">
      <c r="A61" s="50" t="n">
        <v>43</v>
      </c>
      <c r="B61" s="27" t="s">
        <v>255</v>
      </c>
      <c r="C61" s="5" t="s">
        <v>211</v>
      </c>
      <c r="D61" s="52" t="s">
        <v>102</v>
      </c>
      <c r="E61" s="27" t="s">
        <v>256</v>
      </c>
      <c r="F61" s="15" t="n">
        <f aca="false">ROUND(2*INPUTS!$C$24,0)</f>
        <v>3</v>
      </c>
      <c r="G61" s="41"/>
      <c r="H61" s="15" t="n">
        <f aca="false">IF(ISNUMBER(G61),G61,F61)</f>
        <v>3</v>
      </c>
      <c r="I61" s="16" t="n">
        <f aca="false">IF(C61="Manager",INPUTS!$C$35,IF(C61="Coordinator",INPUTS!$C$36,INPUTS!$C$29*INPUTS!$C$35+INPUTS!$C$30*INPUTS!$C$36))</f>
        <v>65</v>
      </c>
      <c r="J61" s="16" t="n">
        <f aca="false">IF(C61="Manager",INPUTS!$C$33,IF(C61="Coordinator",INPUTS!$C$34,INPUTS!$C$29*INPUTS!$C$33+INPUTS!$C$30*INPUTS!$C$34))</f>
        <v>42</v>
      </c>
      <c r="K61" s="6" t="n">
        <f aca="false">IF(D61="Yes",H61*I61,0)</f>
        <v>0</v>
      </c>
      <c r="L61" s="6" t="n">
        <f aca="false">IF(D61="Yes",H61*J61,0)</f>
        <v>0</v>
      </c>
      <c r="M61" s="5" t="s">
        <v>204</v>
      </c>
    </row>
    <row r="62" customFormat="false" ht="16.5" hidden="false" customHeight="true" outlineLevel="0" collapsed="false">
      <c r="A62" s="49"/>
      <c r="B62" s="49" t="s">
        <v>205</v>
      </c>
      <c r="C62" s="49"/>
      <c r="D62" s="49"/>
      <c r="E62" s="49"/>
      <c r="F62" s="49"/>
      <c r="G62" s="49"/>
      <c r="H62" s="49"/>
      <c r="I62" s="49"/>
      <c r="J62" s="49"/>
      <c r="K62" s="49"/>
      <c r="L62" s="49"/>
      <c r="M62" s="49"/>
    </row>
    <row r="63" customFormat="false" ht="15" hidden="false" customHeight="false" outlineLevel="0" collapsed="false">
      <c r="A63" s="50" t="n">
        <v>44</v>
      </c>
      <c r="B63" s="27" t="s">
        <v>257</v>
      </c>
      <c r="C63" s="5" t="s">
        <v>174</v>
      </c>
      <c r="D63" s="52" t="s">
        <v>169</v>
      </c>
      <c r="E63" s="27" t="s">
        <v>234</v>
      </c>
      <c r="F63" s="15" t="n">
        <f aca="false">ROUND(12*INPUTS!$C$24,0)</f>
        <v>18</v>
      </c>
      <c r="G63" s="41"/>
      <c r="H63" s="15" t="n">
        <f aca="false">IF(ISNUMBER(G63),G63,F63)</f>
        <v>18</v>
      </c>
      <c r="I63" s="16" t="n">
        <f aca="false">IF(C63="Manager",INPUTS!$C$35,IF(C63="Coordinator",INPUTS!$C$36,INPUTS!$C$29*INPUTS!$C$35+INPUTS!$C$30*INPUTS!$C$36))</f>
        <v>90</v>
      </c>
      <c r="J63" s="16" t="n">
        <f aca="false">IF(C63="Manager",INPUTS!$C$33,IF(C63="Coordinator",INPUTS!$C$34,INPUTS!$C$29*INPUTS!$C$33+INPUTS!$C$30*INPUTS!$C$34))</f>
        <v>60</v>
      </c>
      <c r="K63" s="6" t="n">
        <f aca="false">IF(D63="Yes",H63*I63,0)</f>
        <v>1620</v>
      </c>
      <c r="L63" s="6" t="n">
        <f aca="false">IF(D63="Yes",H63*J63,0)</f>
        <v>1080</v>
      </c>
      <c r="M63" s="5" t="s">
        <v>205</v>
      </c>
    </row>
    <row r="64" customFormat="false" ht="16.5" hidden="false" customHeight="true" outlineLevel="0" collapsed="false">
      <c r="A64" s="49"/>
      <c r="B64" s="49" t="s">
        <v>208</v>
      </c>
      <c r="C64" s="49"/>
      <c r="D64" s="49"/>
      <c r="E64" s="49"/>
      <c r="F64" s="49"/>
      <c r="G64" s="49"/>
      <c r="H64" s="49"/>
      <c r="I64" s="49"/>
      <c r="J64" s="49"/>
      <c r="K64" s="49"/>
      <c r="L64" s="49"/>
      <c r="M64" s="49"/>
    </row>
    <row r="65" customFormat="false" ht="15" hidden="false" customHeight="false" outlineLevel="0" collapsed="false">
      <c r="A65" s="50" t="n">
        <v>45</v>
      </c>
      <c r="B65" s="27" t="s">
        <v>258</v>
      </c>
      <c r="C65" s="5" t="s">
        <v>174</v>
      </c>
      <c r="D65" s="52" t="s">
        <v>102</v>
      </c>
      <c r="E65" s="27" t="s">
        <v>200</v>
      </c>
      <c r="F65" s="15" t="n">
        <f aca="false">ROUND(8*INPUTS!$C$24,0)</f>
        <v>12</v>
      </c>
      <c r="G65" s="41"/>
      <c r="H65" s="15" t="n">
        <f aca="false">IF(ISNUMBER(G65),G65,F65)</f>
        <v>12</v>
      </c>
      <c r="I65" s="16" t="n">
        <f aca="false">IF(C65="Manager",INPUTS!$C$35,IF(C65="Coordinator",INPUTS!$C$36,INPUTS!$C$29*INPUTS!$C$35+INPUTS!$C$30*INPUTS!$C$36))</f>
        <v>90</v>
      </c>
      <c r="J65" s="16" t="n">
        <f aca="false">IF(C65="Manager",INPUTS!$C$33,IF(C65="Coordinator",INPUTS!$C$34,INPUTS!$C$29*INPUTS!$C$33+INPUTS!$C$30*INPUTS!$C$34))</f>
        <v>60</v>
      </c>
      <c r="K65" s="6" t="n">
        <f aca="false">IF(D65="Yes",H65*I65,0)</f>
        <v>0</v>
      </c>
      <c r="L65" s="6" t="n">
        <f aca="false">IF(D65="Yes",H65*J65,0)</f>
        <v>0</v>
      </c>
      <c r="M65" s="5" t="s">
        <v>208</v>
      </c>
    </row>
    <row r="66" customFormat="false" ht="15" hidden="false" customHeight="false" outlineLevel="0" collapsed="false">
      <c r="A66" s="50" t="n">
        <v>46</v>
      </c>
      <c r="B66" s="27" t="s">
        <v>259</v>
      </c>
      <c r="C66" s="5" t="s">
        <v>174</v>
      </c>
      <c r="D66" s="52" t="s">
        <v>102</v>
      </c>
      <c r="E66" s="27" t="s">
        <v>260</v>
      </c>
      <c r="F66" s="15" t="n">
        <f aca="false">ROUND(9*INPUTS!$C$24,0)</f>
        <v>14</v>
      </c>
      <c r="G66" s="41"/>
      <c r="H66" s="15" t="n">
        <f aca="false">IF(ISNUMBER(G66),G66,F66)</f>
        <v>14</v>
      </c>
      <c r="I66" s="16" t="n">
        <f aca="false">IF(C66="Manager",INPUTS!$C$35,IF(C66="Coordinator",INPUTS!$C$36,INPUTS!$C$29*INPUTS!$C$35+INPUTS!$C$30*INPUTS!$C$36))</f>
        <v>90</v>
      </c>
      <c r="J66" s="16" t="n">
        <f aca="false">IF(C66="Manager",INPUTS!$C$33,IF(C66="Coordinator",INPUTS!$C$34,INPUTS!$C$29*INPUTS!$C$33+INPUTS!$C$30*INPUTS!$C$34))</f>
        <v>60</v>
      </c>
      <c r="K66" s="6" t="n">
        <f aca="false">IF(D66="Yes",H66*I66,0)</f>
        <v>0</v>
      </c>
      <c r="L66" s="6" t="n">
        <f aca="false">IF(D66="Yes",H66*J66,0)</f>
        <v>0</v>
      </c>
      <c r="M66" s="5" t="s">
        <v>208</v>
      </c>
    </row>
    <row r="67" customFormat="false" ht="15" hidden="false" customHeight="false" outlineLevel="0" collapsed="false">
      <c r="A67" s="50" t="n">
        <v>47</v>
      </c>
      <c r="B67" s="27" t="s">
        <v>261</v>
      </c>
      <c r="C67" s="5" t="s">
        <v>174</v>
      </c>
      <c r="D67" s="52" t="s">
        <v>102</v>
      </c>
      <c r="E67" s="27" t="s">
        <v>183</v>
      </c>
      <c r="F67" s="15" t="n">
        <f aca="false">ROUND(5*INPUTS!$C$24,0)</f>
        <v>8</v>
      </c>
      <c r="G67" s="41"/>
      <c r="H67" s="15" t="n">
        <f aca="false">IF(ISNUMBER(G67),G67,F67)</f>
        <v>8</v>
      </c>
      <c r="I67" s="16" t="n">
        <f aca="false">IF(C67="Manager",INPUTS!$C$35,IF(C67="Coordinator",INPUTS!$C$36,INPUTS!$C$29*INPUTS!$C$35+INPUTS!$C$30*INPUTS!$C$36))</f>
        <v>90</v>
      </c>
      <c r="J67" s="16" t="n">
        <f aca="false">IF(C67="Manager",INPUTS!$C$33,IF(C67="Coordinator",INPUTS!$C$34,INPUTS!$C$29*INPUTS!$C$33+INPUTS!$C$30*INPUTS!$C$34))</f>
        <v>60</v>
      </c>
      <c r="K67" s="6" t="n">
        <f aca="false">IF(D67="Yes",H67*I67,0)</f>
        <v>0</v>
      </c>
      <c r="L67" s="6" t="n">
        <f aca="false">IF(D67="Yes",H67*J67,0)</f>
        <v>0</v>
      </c>
      <c r="M67" s="5" t="s">
        <v>208</v>
      </c>
    </row>
    <row r="68" customFormat="false" ht="15" hidden="false" customHeight="false" outlineLevel="0" collapsed="false">
      <c r="A68" s="50" t="n">
        <v>48</v>
      </c>
      <c r="B68" s="27" t="s">
        <v>262</v>
      </c>
      <c r="C68" s="5" t="s">
        <v>174</v>
      </c>
      <c r="D68" s="52" t="s">
        <v>102</v>
      </c>
      <c r="E68" s="27" t="s">
        <v>183</v>
      </c>
      <c r="F68" s="15" t="n">
        <f aca="false">ROUND(5*INPUTS!$C$24,0)</f>
        <v>8</v>
      </c>
      <c r="G68" s="41"/>
      <c r="H68" s="15" t="n">
        <f aca="false">IF(ISNUMBER(G68),G68,F68)</f>
        <v>8</v>
      </c>
      <c r="I68" s="16" t="n">
        <f aca="false">IF(C68="Manager",INPUTS!$C$35,IF(C68="Coordinator",INPUTS!$C$36,INPUTS!$C$29*INPUTS!$C$35+INPUTS!$C$30*INPUTS!$C$36))</f>
        <v>90</v>
      </c>
      <c r="J68" s="16" t="n">
        <f aca="false">IF(C68="Manager",INPUTS!$C$33,IF(C68="Coordinator",INPUTS!$C$34,INPUTS!$C$29*INPUTS!$C$33+INPUTS!$C$30*INPUTS!$C$34))</f>
        <v>60</v>
      </c>
      <c r="K68" s="6" t="n">
        <f aca="false">IF(D68="Yes",H68*I68,0)</f>
        <v>0</v>
      </c>
      <c r="L68" s="6" t="n">
        <f aca="false">IF(D68="Yes",H68*J68,0)</f>
        <v>0</v>
      </c>
      <c r="M68" s="5" t="s">
        <v>208</v>
      </c>
    </row>
    <row r="69" customFormat="false" ht="16.5" hidden="false" customHeight="true" outlineLevel="0" collapsed="false">
      <c r="A69" s="49"/>
      <c r="B69" s="49" t="s">
        <v>209</v>
      </c>
      <c r="C69" s="49"/>
      <c r="D69" s="49"/>
      <c r="E69" s="49"/>
      <c r="F69" s="49"/>
      <c r="G69" s="49"/>
      <c r="H69" s="49"/>
      <c r="I69" s="49"/>
      <c r="J69" s="49"/>
      <c r="K69" s="49"/>
      <c r="L69" s="49"/>
      <c r="M69" s="49"/>
    </row>
    <row r="70" customFormat="false" ht="15" hidden="false" customHeight="false" outlineLevel="0" collapsed="false">
      <c r="A70" s="50" t="n">
        <v>49</v>
      </c>
      <c r="B70" s="27" t="s">
        <v>263</v>
      </c>
      <c r="C70" s="5" t="s">
        <v>174</v>
      </c>
      <c r="D70" s="52" t="s">
        <v>169</v>
      </c>
      <c r="E70" s="27" t="s">
        <v>264</v>
      </c>
      <c r="F70" s="15" t="n">
        <f aca="false">ROUND(1*INPUTS!$C$11,0)</f>
        <v>60</v>
      </c>
      <c r="G70" s="41"/>
      <c r="H70" s="15" t="n">
        <f aca="false">IF(ISNUMBER(G70),G70,F70)</f>
        <v>60</v>
      </c>
      <c r="I70" s="16" t="n">
        <f aca="false">IF(C70="Manager",INPUTS!$C$35,IF(C70="Coordinator",INPUTS!$C$36,INPUTS!$C$29*INPUTS!$C$35+INPUTS!$C$30*INPUTS!$C$36))</f>
        <v>90</v>
      </c>
      <c r="J70" s="16" t="n">
        <f aca="false">IF(C70="Manager",INPUTS!$C$33,IF(C70="Coordinator",INPUTS!$C$34,INPUTS!$C$29*INPUTS!$C$33+INPUTS!$C$30*INPUTS!$C$34))</f>
        <v>60</v>
      </c>
      <c r="K70" s="6" t="n">
        <f aca="false">IF(D70="Yes",H70*I70,0)</f>
        <v>5400</v>
      </c>
      <c r="L70" s="6" t="n">
        <f aca="false">IF(D70="Yes",H70*J70,0)</f>
        <v>3600</v>
      </c>
      <c r="M70" s="5" t="s">
        <v>209</v>
      </c>
    </row>
    <row r="71" customFormat="false" ht="16.5" hidden="false" customHeight="true" outlineLevel="0" collapsed="false">
      <c r="A71" s="49"/>
      <c r="B71" s="49" t="s">
        <v>213</v>
      </c>
      <c r="C71" s="49"/>
      <c r="D71" s="49"/>
      <c r="E71" s="49"/>
      <c r="F71" s="49"/>
      <c r="G71" s="49"/>
      <c r="H71" s="49"/>
      <c r="I71" s="49"/>
      <c r="J71" s="49"/>
      <c r="K71" s="49"/>
      <c r="L71" s="49"/>
      <c r="M71" s="49"/>
    </row>
    <row r="72" customFormat="false" ht="15" hidden="false" customHeight="false" outlineLevel="0" collapsed="false">
      <c r="A72" s="50" t="n">
        <v>50</v>
      </c>
      <c r="B72" s="27" t="s">
        <v>265</v>
      </c>
      <c r="C72" s="5" t="s">
        <v>174</v>
      </c>
      <c r="D72" s="52" t="s">
        <v>169</v>
      </c>
      <c r="E72" s="27" t="s">
        <v>190</v>
      </c>
      <c r="F72" s="15" t="n">
        <f aca="false">ROUND(10*INPUTS!$C$24,0)</f>
        <v>15</v>
      </c>
      <c r="G72" s="41"/>
      <c r="H72" s="15" t="n">
        <f aca="false">IF(ISNUMBER(G72),G72,F72)</f>
        <v>15</v>
      </c>
      <c r="I72" s="16" t="n">
        <f aca="false">IF(C72="Manager",INPUTS!$C$35,IF(C72="Coordinator",INPUTS!$C$36,INPUTS!$C$29*INPUTS!$C$35+INPUTS!$C$30*INPUTS!$C$36))</f>
        <v>90</v>
      </c>
      <c r="J72" s="16" t="n">
        <f aca="false">IF(C72="Manager",INPUTS!$C$33,IF(C72="Coordinator",INPUTS!$C$34,INPUTS!$C$29*INPUTS!$C$33+INPUTS!$C$30*INPUTS!$C$34))</f>
        <v>60</v>
      </c>
      <c r="K72" s="6" t="n">
        <f aca="false">IF(D72="Yes",H72*I72,0)</f>
        <v>1350</v>
      </c>
      <c r="L72" s="6" t="n">
        <f aca="false">IF(D72="Yes",H72*J72,0)</f>
        <v>900</v>
      </c>
      <c r="M72" s="5" t="s">
        <v>213</v>
      </c>
    </row>
    <row r="73" customFormat="false" ht="16.5" hidden="false" customHeight="true" outlineLevel="0" collapsed="false">
      <c r="A73" s="49"/>
      <c r="B73" s="49" t="s">
        <v>216</v>
      </c>
      <c r="C73" s="49"/>
      <c r="D73" s="49"/>
      <c r="E73" s="49"/>
      <c r="F73" s="49"/>
      <c r="G73" s="49"/>
      <c r="H73" s="49"/>
      <c r="I73" s="49"/>
      <c r="J73" s="49"/>
      <c r="K73" s="49"/>
      <c r="L73" s="49"/>
      <c r="M73" s="49"/>
    </row>
    <row r="74" customFormat="false" ht="15" hidden="false" customHeight="false" outlineLevel="0" collapsed="false">
      <c r="A74" s="50" t="n">
        <v>51</v>
      </c>
      <c r="B74" s="27" t="s">
        <v>266</v>
      </c>
      <c r="C74" s="5" t="s">
        <v>211</v>
      </c>
      <c r="D74" s="52" t="s">
        <v>102</v>
      </c>
      <c r="E74" s="27" t="s">
        <v>194</v>
      </c>
      <c r="F74" s="15" t="n">
        <f aca="false">ROUND(7*INPUTS!$C$24,0)</f>
        <v>11</v>
      </c>
      <c r="G74" s="41"/>
      <c r="H74" s="15" t="n">
        <f aca="false">IF(ISNUMBER(G74),G74,F74)</f>
        <v>11</v>
      </c>
      <c r="I74" s="16" t="n">
        <f aca="false">IF(C74="Manager",INPUTS!$C$35,IF(C74="Coordinator",INPUTS!$C$36,INPUTS!$C$29*INPUTS!$C$35+INPUTS!$C$30*INPUTS!$C$36))</f>
        <v>65</v>
      </c>
      <c r="J74" s="16" t="n">
        <f aca="false">IF(C74="Manager",INPUTS!$C$33,IF(C74="Coordinator",INPUTS!$C$34,INPUTS!$C$29*INPUTS!$C$33+INPUTS!$C$30*INPUTS!$C$34))</f>
        <v>42</v>
      </c>
      <c r="K74" s="6" t="n">
        <f aca="false">IF(D74="Yes",H74*I74,0)</f>
        <v>0</v>
      </c>
      <c r="L74" s="6" t="n">
        <f aca="false">IF(D74="Yes",H74*J74,0)</f>
        <v>0</v>
      </c>
      <c r="M74" s="5" t="s">
        <v>216</v>
      </c>
    </row>
    <row r="75" customFormat="false" ht="15" hidden="false" customHeight="false" outlineLevel="0" collapsed="false">
      <c r="A75" s="50" t="n">
        <v>52</v>
      </c>
      <c r="B75" s="27" t="s">
        <v>267</v>
      </c>
      <c r="C75" s="5" t="s">
        <v>211</v>
      </c>
      <c r="D75" s="52" t="s">
        <v>102</v>
      </c>
      <c r="E75" s="27" t="s">
        <v>200</v>
      </c>
      <c r="F75" s="15" t="n">
        <f aca="false">ROUND(8*INPUTS!$C$24,0)</f>
        <v>12</v>
      </c>
      <c r="G75" s="41"/>
      <c r="H75" s="15" t="n">
        <f aca="false">IF(ISNUMBER(G75),G75,F75)</f>
        <v>12</v>
      </c>
      <c r="I75" s="16" t="n">
        <f aca="false">IF(C75="Manager",INPUTS!$C$35,IF(C75="Coordinator",INPUTS!$C$36,INPUTS!$C$29*INPUTS!$C$35+INPUTS!$C$30*INPUTS!$C$36))</f>
        <v>65</v>
      </c>
      <c r="J75" s="16" t="n">
        <f aca="false">IF(C75="Manager",INPUTS!$C$33,IF(C75="Coordinator",INPUTS!$C$34,INPUTS!$C$29*INPUTS!$C$33+INPUTS!$C$30*INPUTS!$C$34))</f>
        <v>42</v>
      </c>
      <c r="K75" s="6" t="n">
        <f aca="false">IF(D75="Yes",H75*I75,0)</f>
        <v>0</v>
      </c>
      <c r="L75" s="6" t="n">
        <f aca="false">IF(D75="Yes",H75*J75,0)</f>
        <v>0</v>
      </c>
      <c r="M75" s="5" t="s">
        <v>216</v>
      </c>
    </row>
    <row r="76" customFormat="false" ht="15" hidden="false" customHeight="false" outlineLevel="0" collapsed="false">
      <c r="A76" s="50" t="n">
        <v>53</v>
      </c>
      <c r="B76" s="27" t="s">
        <v>268</v>
      </c>
      <c r="C76" s="5" t="s">
        <v>211</v>
      </c>
      <c r="D76" s="52" t="s">
        <v>102</v>
      </c>
      <c r="E76" s="27" t="s">
        <v>194</v>
      </c>
      <c r="F76" s="15" t="n">
        <f aca="false">ROUND(7*INPUTS!$C$24,0)</f>
        <v>11</v>
      </c>
      <c r="G76" s="41"/>
      <c r="H76" s="15" t="n">
        <f aca="false">IF(ISNUMBER(G76),G76,F76)</f>
        <v>11</v>
      </c>
      <c r="I76" s="16" t="n">
        <f aca="false">IF(C76="Manager",INPUTS!$C$35,IF(C76="Coordinator",INPUTS!$C$36,INPUTS!$C$29*INPUTS!$C$35+INPUTS!$C$30*INPUTS!$C$36))</f>
        <v>65</v>
      </c>
      <c r="J76" s="16" t="n">
        <f aca="false">IF(C76="Manager",INPUTS!$C$33,IF(C76="Coordinator",INPUTS!$C$34,INPUTS!$C$29*INPUTS!$C$33+INPUTS!$C$30*INPUTS!$C$34))</f>
        <v>42</v>
      </c>
      <c r="K76" s="6" t="n">
        <f aca="false">IF(D76="Yes",H76*I76,0)</f>
        <v>0</v>
      </c>
      <c r="L76" s="6" t="n">
        <f aca="false">IF(D76="Yes",H76*J76,0)</f>
        <v>0</v>
      </c>
      <c r="M76" s="5" t="s">
        <v>216</v>
      </c>
    </row>
    <row r="77" customFormat="false" ht="15" hidden="false" customHeight="false" outlineLevel="0" collapsed="false">
      <c r="A77" s="20"/>
      <c r="B77" s="20" t="s">
        <v>269</v>
      </c>
      <c r="C77" s="20"/>
      <c r="D77" s="20"/>
      <c r="E77" s="20"/>
      <c r="F77" s="20"/>
      <c r="G77" s="20"/>
      <c r="H77" s="21" t="n">
        <f aca="false">SUMIF($D$4:$D$76,"Yes",$H$4:$H$76)</f>
        <v>568</v>
      </c>
      <c r="I77" s="20"/>
      <c r="J77" s="20"/>
      <c r="K77" s="23" t="n">
        <f aca="false">SUMIF($D$4:$D$76,"Yes",$K$4:$K$76)</f>
        <v>48830</v>
      </c>
      <c r="L77" s="23" t="n">
        <f aca="false">SUMIF($D$4:$D$76,"Yes",$L$4:$L$76)</f>
        <v>32244</v>
      </c>
      <c r="M77" s="20"/>
    </row>
  </sheetData>
  <dataValidations count="1">
    <dataValidation allowBlank="false" errorStyle="stop" operator="between" showDropDown="false" showErrorMessage="false" showInputMessage="false" sqref="D7:D10 D12:D13 D15:D18 D20 D22:D24 D26 D28:D32 D34:D35 D37:D38 D40:D41 D43:D44 D46:D47 D49:D53 D55:D61 D63 D65:D68 D70 D72 D74:D7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2"/>
  </cols>
  <sheetData>
    <row r="1" customFormat="false" ht="24" hidden="false" customHeight="true" outlineLevel="0" collapsed="false">
      <c r="B1" s="1" t="s">
        <v>270</v>
      </c>
    </row>
    <row r="3" customFormat="false" ht="19.5" hidden="false" customHeight="true" outlineLevel="0" collapsed="false">
      <c r="B3" s="3" t="s">
        <v>271</v>
      </c>
    </row>
    <row r="4" customFormat="false" ht="15" hidden="false" customHeight="true" outlineLevel="0" collapsed="false">
      <c r="B4" s="53" t="s">
        <v>272</v>
      </c>
    </row>
    <row r="5" customFormat="false" ht="15" hidden="false" customHeight="true" outlineLevel="0" collapsed="false">
      <c r="B5" s="53" t="s">
        <v>273</v>
      </c>
    </row>
    <row r="6" customFormat="false" ht="15" hidden="false" customHeight="true" outlineLevel="0" collapsed="false">
      <c r="B6" s="53" t="s">
        <v>274</v>
      </c>
    </row>
    <row r="7" customFormat="false" ht="15" hidden="false" customHeight="true" outlineLevel="0" collapsed="false">
      <c r="B7" s="53" t="s">
        <v>275</v>
      </c>
    </row>
    <row r="9" customFormat="false" ht="19.5" hidden="false" customHeight="true" outlineLevel="0" collapsed="false">
      <c r="B9" s="3" t="s">
        <v>276</v>
      </c>
    </row>
    <row r="10" customFormat="false" ht="30" hidden="false" customHeight="true" outlineLevel="0" collapsed="false">
      <c r="B10" s="53" t="s">
        <v>277</v>
      </c>
    </row>
    <row r="11" customFormat="false" ht="30" hidden="false" customHeight="true" outlineLevel="0" collapsed="false">
      <c r="B11" s="53" t="s">
        <v>278</v>
      </c>
    </row>
    <row r="13" customFormat="false" ht="19.5" hidden="false" customHeight="true" outlineLevel="0" collapsed="false">
      <c r="B13" s="3" t="s">
        <v>279</v>
      </c>
    </row>
    <row r="14" customFormat="false" ht="30" hidden="false" customHeight="true" outlineLevel="0" collapsed="false">
      <c r="B14" s="53" t="s">
        <v>280</v>
      </c>
    </row>
    <row r="15" customFormat="false" ht="15" hidden="false" customHeight="true" outlineLevel="0" collapsed="false">
      <c r="B15" s="53" t="s">
        <v>281</v>
      </c>
    </row>
    <row r="17" customFormat="false" ht="19.5" hidden="false" customHeight="true" outlineLevel="0" collapsed="false">
      <c r="B17" s="3" t="s">
        <v>282</v>
      </c>
    </row>
    <row r="18" customFormat="false" ht="30" hidden="false" customHeight="true" outlineLevel="0" collapsed="false">
      <c r="B18" s="53" t="s">
        <v>283</v>
      </c>
    </row>
    <row r="19" customFormat="false" ht="15" hidden="false" customHeight="true" outlineLevel="0" collapsed="false">
      <c r="B19" s="53" t="s">
        <v>284</v>
      </c>
    </row>
    <row r="20" customFormat="false" ht="45" hidden="false" customHeight="true" outlineLevel="0" collapsed="false">
      <c r="B20" s="53" t="s">
        <v>285</v>
      </c>
    </row>
    <row r="21" customFormat="false" ht="45" hidden="false" customHeight="true" outlineLevel="0" collapsed="false">
      <c r="B21" s="53" t="s">
        <v>286</v>
      </c>
    </row>
    <row r="23" customFormat="false" ht="19.5" hidden="false" customHeight="true" outlineLevel="0" collapsed="false">
      <c r="B23" s="3" t="s">
        <v>287</v>
      </c>
    </row>
    <row r="24" customFormat="false" ht="30" hidden="false" customHeight="true" outlineLevel="0" collapsed="false">
      <c r="B24" s="53" t="s">
        <v>288</v>
      </c>
    </row>
    <row r="25" customFormat="false" ht="15" hidden="false" customHeight="true" outlineLevel="0" collapsed="false">
      <c r="B25" s="53" t="s">
        <v>289</v>
      </c>
    </row>
    <row r="26" customFormat="false" ht="30" hidden="false" customHeight="true" outlineLevel="0" collapsed="false">
      <c r="B26" s="53" t="s">
        <v>290</v>
      </c>
    </row>
    <row r="27" customFormat="false" ht="30" hidden="false" customHeight="true" outlineLevel="0" collapsed="false">
      <c r="B27" s="53" t="s">
        <v>291</v>
      </c>
    </row>
    <row r="28" customFormat="false" ht="30" hidden="false" customHeight="true" outlineLevel="0" collapsed="false">
      <c r="B28" s="53" t="s">
        <v>292</v>
      </c>
    </row>
    <row r="30" customFormat="false" ht="19.5" hidden="false" customHeight="true" outlineLevel="0" collapsed="false">
      <c r="B30" s="3" t="s">
        <v>293</v>
      </c>
    </row>
    <row r="31" customFormat="false" ht="45" hidden="false" customHeight="true" outlineLevel="0" collapsed="false">
      <c r="B31" s="53" t="s">
        <v>294</v>
      </c>
    </row>
    <row r="32" customFormat="false" ht="45" hidden="false" customHeight="true" outlineLevel="0" collapsed="false">
      <c r="B32" s="53" t="s">
        <v>295</v>
      </c>
    </row>
    <row r="33" customFormat="false" ht="45" hidden="false" customHeight="true" outlineLevel="0" collapsed="false">
      <c r="B33" s="53" t="s">
        <v>296</v>
      </c>
    </row>
    <row r="34" customFormat="false" ht="30" hidden="false" customHeight="true" outlineLevel="0" collapsed="false">
      <c r="B34" s="53" t="s">
        <v>297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2026-08-20T20:28:19Z</dcterms:created>
  <dc:creator>openpyxl</dc:creator>
  <dc:description/>
  <dc:language>en-US</dc:language>
  <cp:lastModifiedBy/>
  <dcterms:modified xsi:type="dcterms:W3CDTF">2026-08-20T20:28:19Z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