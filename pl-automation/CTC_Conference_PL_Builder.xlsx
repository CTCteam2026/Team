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&amp;L" sheetId="1" state="visible" r:id="rId3"/>
    <sheet name="INPUTS" sheetId="2" state="visible" r:id="rId4"/>
    <sheet name="SCOPE" sheetId="3" state="visible" r:id="rId5"/>
    <sheet name="BENCHMARKS" sheetId="4" state="visible" r:id="rId6"/>
    <sheet name="HOW TO US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<sst xmlns="http://schemas.openxmlformats.org/spreadsheetml/2006/main" count="386" uniqueCount="311">
  <si>
    <t xml:space="preserve">CONFERENCE P&amp;L</t>
  </si>
  <si>
    <t xml:space="preserve">PROPOSAL SUMMARY</t>
  </si>
  <si>
    <t xml:space="preserve">ITEM</t>
  </si>
  <si>
    <t xml:space="preserve">CLIENT COST</t>
  </si>
  <si>
    <t xml:space="preserve">OUR COST</t>
  </si>
  <si>
    <t xml:space="preserve">NET PROFIT</t>
  </si>
  <si>
    <t xml:space="preserve">% PROFIT</t>
  </si>
  <si>
    <t xml:space="preserve">SUBTOTAL</t>
  </si>
  <si>
    <t xml:space="preserve">GRAND TOTAL</t>
  </si>
  <si>
    <t xml:space="preserve">PRE-PLANNING HOURS BY STAFF CATEGORY</t>
  </si>
  <si>
    <t xml:space="preserve">CATEGORY</t>
  </si>
  <si>
    <t xml:space="preserve">HOURS</t>
  </si>
  <si>
    <t xml:space="preserve">OUR RATE / HR</t>
  </si>
  <si>
    <t xml:space="preserve">STAFF COUNT</t>
  </si>
  <si>
    <t xml:space="preserve">HRS / PERSON / WEEK</t>
  </si>
  <si>
    <t xml:space="preserve">Managers</t>
  </si>
  <si>
    <t xml:space="preserve">Coordinators</t>
  </si>
  <si>
    <t xml:space="preserve">Team (weekly meetings — all staff)</t>
  </si>
  <si>
    <t xml:space="preserve">TOTAL PRE-PLANNING</t>
  </si>
  <si>
    <t xml:space="preserve">HRS / PERSON / WEEK is a workload check — if it climbs above roughly 10, either add staff or trim scope.</t>
  </si>
  <si>
    <t xml:space="preserve">PRE-PLANNING  —  EVENT MANAGEMENT</t>
  </si>
  <si>
    <t xml:space="preserve">SCOPE OF WORK</t>
  </si>
  <si>
    <t xml:space="preserve">STAFF</t>
  </si>
  <si>
    <t xml:space="preserve">CLIENT RATE</t>
  </si>
  <si>
    <t xml:space="preserve">OUR RATE</t>
  </si>
  <si>
    <t xml:space="preserve">TOTALS</t>
  </si>
  <si>
    <t xml:space="preserve">ONSITE MANAGEMENT  —  one line per person</t>
  </si>
  <si>
    <t xml:space="preserve">STAFF OVERHEAD</t>
  </si>
  <si>
    <t xml:space="preserve">STAFF HOURS</t>
  </si>
  <si>
    <t xml:space="preserve">RATE / HR</t>
  </si>
  <si>
    <t xml:space="preserve">OVERHEAD COST</t>
  </si>
  <si>
    <t xml:space="preserve">Pre-Planning staff hours</t>
  </si>
  <si>
    <t xml:space="preserve">Onsite staff hours (incl. overtime)</t>
  </si>
  <si>
    <t xml:space="preserve">TOTAL STAFF OVERHEAD</t>
  </si>
  <si>
    <t xml:space="preserve">Overhead is a CTC cost only — it is not billed to the client, so it reduces net profit.</t>
  </si>
  <si>
    <t xml:space="preserve">Admin fee is charged ON TOP of the client subtotal (pre-planning + onsite) and is pure margin.</t>
  </si>
  <si>
    <t xml:space="preserve">CTC CONFERENCE P&amp;L BUILDER  —  INPUTS</t>
  </si>
  <si>
    <t xml:space="preserve">Fill in the yellow cells only. Everything on the P&amp;L tab recalculates automatically. Scope of work is selected on the SCOPE tab.</t>
  </si>
  <si>
    <t xml:space="preserve">1.  EVENT PROFILE</t>
  </si>
  <si>
    <t xml:space="preserve">Event / Client Name</t>
  </si>
  <si>
    <t xml:space="preserve">New Conference 2027</t>
  </si>
  <si>
    <t xml:space="preserve">Event Dates (display text)</t>
  </si>
  <si>
    <t xml:space="preserve">April 6-8, 2027</t>
  </si>
  <si>
    <t xml:space="preserve">Location</t>
  </si>
  <si>
    <t xml:space="preserve">Los Angeles, CA</t>
  </si>
  <si>
    <t xml:space="preserve">Attendees</t>
  </si>
  <si>
    <t xml:space="preserve">Drives Venue, Branding, Registration, F&amp;B, Housing, Programming hours</t>
  </si>
  <si>
    <t xml:space="preserve">Exhibitors</t>
  </si>
  <si>
    <t xml:space="preserve">Exhibit Management = exhibitors x 1 hour  (matches WTUI 200 &amp; LCT 35 exactly)</t>
  </si>
  <si>
    <t xml:space="preserve">Sponsors</t>
  </si>
  <si>
    <t xml:space="preserve">Sponsorships = sponsors x 1.5 hours, minimum 15</t>
  </si>
  <si>
    <t xml:space="preserve">Speakers</t>
  </si>
  <si>
    <t xml:space="preserve">Speaker Management = speakers x 1 hour, minimum 10</t>
  </si>
  <si>
    <t xml:space="preserve">Third-Party Items to Source</t>
  </si>
  <si>
    <t xml:space="preserve">3rd Party Vendors = items x 5 hours (25-50 hr band)</t>
  </si>
  <si>
    <t xml:space="preserve">2.  SCHEDULE</t>
  </si>
  <si>
    <t xml:space="preserve">Event Days</t>
  </si>
  <si>
    <t xml:space="preserve">Set-Up / Load-In Days</t>
  </si>
  <si>
    <t xml:space="preserve">Travel Days</t>
  </si>
  <si>
    <t xml:space="preserve">Travel days are paid but not billed at full onsite hours - see section 5</t>
  </si>
  <si>
    <t xml:space="preserve">TOTAL ONSITE DAYS</t>
  </si>
  <si>
    <t xml:space="preserve">Months of Pre-Planning</t>
  </si>
  <si>
    <t xml:space="preserve">Months from contract/proposal to event day 1</t>
  </si>
  <si>
    <t xml:space="preserve">Planning Weeks</t>
  </si>
  <si>
    <t xml:space="preserve">Weekly meetings, document management and PM hours all key off this</t>
  </si>
  <si>
    <t xml:space="preserve">3.  STAFFING  (headcount)</t>
  </si>
  <si>
    <t xml:space="preserve">ONSITE — Managers</t>
  </si>
  <si>
    <t xml:space="preserve">Onsite staff are costed PER PERSON - one line each on the P&amp;L</t>
  </si>
  <si>
    <t xml:space="preserve">ONSITE — Coordinators</t>
  </si>
  <si>
    <t xml:space="preserve">PRE-PLANNING — Managers</t>
  </si>
  <si>
    <t xml:space="preserve">Pre-planning is costed BY CATEGORY - headcount drives the weekly meeting line and the workload check</t>
  </si>
  <si>
    <t xml:space="preserve">PRE-PLANNING — Coordinators</t>
  </si>
  <si>
    <t xml:space="preserve">4.  RATES</t>
  </si>
  <si>
    <t xml:space="preserve">Manager — OUR COST / hr</t>
  </si>
  <si>
    <t xml:space="preserve">Set by CTC. Applies to every manager hour, onsite and pre-planning.</t>
  </si>
  <si>
    <t xml:space="preserve">Coordinator — OUR COST / hr</t>
  </si>
  <si>
    <t xml:space="preserve">Set by CTC. Applies to every coordinator hour, onsite and pre-planning.</t>
  </si>
  <si>
    <t xml:space="preserve">Manager — CLIENT RATE / hr (pre-planning)</t>
  </si>
  <si>
    <t xml:space="preserve">Historical standard: PM $90 / EC $65 pre-planning; PM $100 onsite</t>
  </si>
  <si>
    <t xml:space="preserve">Coordinator — CLIENT RATE / hr (pre-planning)</t>
  </si>
  <si>
    <t xml:space="preserve">Manager — CLIENT RATE / hr (onsite)</t>
  </si>
  <si>
    <t xml:space="preserve">Coordinator — CLIENT RATE / hr (onsite)</t>
  </si>
  <si>
    <t xml:space="preserve">Overtime Multiplier</t>
  </si>
  <si>
    <t xml:space="preserve">Coordinator OT billed at 1.5x ($97.50) and costed at 1.5x - matches all 3 prior P&amp;Ls</t>
  </si>
  <si>
    <t xml:space="preserve">5.  ONSITE HOURS PER DAY</t>
  </si>
  <si>
    <t xml:space="preserve">Manager hours per onsite day</t>
  </si>
  <si>
    <t xml:space="preserve">AFCI billed 12 hrs/day x 4 days = 48. WTUI 10 hrs/day x 5 = 50.</t>
  </si>
  <si>
    <t xml:space="preserve">Coordinator REGULAR hours per onsite day</t>
  </si>
  <si>
    <t xml:space="preserve">AFCI &amp; WTUI both: 8 regular + 2 OT per coordinator per day.</t>
  </si>
  <si>
    <t xml:space="preserve">Coordinator OVERTIME hours per onsite day</t>
  </si>
  <si>
    <t xml:space="preserve">Hours per travel day</t>
  </si>
  <si>
    <t xml:space="preserve">6.  OVERHEAD, FEES &amp; DISCOUNTS</t>
  </si>
  <si>
    <t xml:space="preserve">Staff Overhead per hour</t>
  </si>
  <si>
    <t xml:space="preserve">$0.61 x every CTC staff hour (pre-planning + onsite + OT). A cost, not billed.</t>
  </si>
  <si>
    <t xml:space="preserve">Admin Fee %</t>
  </si>
  <si>
    <t xml:space="preserve">2% of the client subtotal (pre-planning + onsite). Added to the client price.</t>
  </si>
  <si>
    <t xml:space="preserve">Multi-Year Discount %</t>
  </si>
  <si>
    <t xml:space="preserve">The '5% off additional years' line used on NICA and WTUI.</t>
  </si>
  <si>
    <t xml:space="preserve">Apply Multi-Year Discount?</t>
  </si>
  <si>
    <t xml:space="preserve">No</t>
  </si>
  <si>
    <t xml:space="preserve">7.  ONSITE ROLE TITLES</t>
  </si>
  <si>
    <t xml:space="preserve">ONSITE MANAGERS</t>
  </si>
  <si>
    <t xml:space="preserve">Only the first N rows are used, where N = the headcount in section 3. Titles are cosmetic; rates come from section 4.</t>
  </si>
  <si>
    <t xml:space="preserve">   Manager 1</t>
  </si>
  <si>
    <t xml:space="preserve">Project Manager</t>
  </si>
  <si>
    <t xml:space="preserve">   Manager 2</t>
  </si>
  <si>
    <t xml:space="preserve">Event Manager</t>
  </si>
  <si>
    <t xml:space="preserve">   Manager 3</t>
  </si>
  <si>
    <t xml:space="preserve">Executive Producer</t>
  </si>
  <si>
    <t xml:space="preserve">   Manager 4</t>
  </si>
  <si>
    <t xml:space="preserve">Registration Manager</t>
  </si>
  <si>
    <t xml:space="preserve">   Manager 5</t>
  </si>
  <si>
    <t xml:space="preserve">Housing / Expo Manager</t>
  </si>
  <si>
    <t xml:space="preserve">   Manager 6</t>
  </si>
  <si>
    <t xml:space="preserve">Production Manager</t>
  </si>
  <si>
    <t xml:space="preserve">   Manager 7</t>
  </si>
  <si>
    <t xml:space="preserve">Manager 7</t>
  </si>
  <si>
    <t xml:space="preserve">   Manager 8</t>
  </si>
  <si>
    <t xml:space="preserve">Manager 8</t>
  </si>
  <si>
    <t xml:space="preserve">   Manager 9</t>
  </si>
  <si>
    <t xml:space="preserve">Manager 9</t>
  </si>
  <si>
    <t xml:space="preserve">   Manager 10</t>
  </si>
  <si>
    <t xml:space="preserve">Manager 10</t>
  </si>
  <si>
    <t xml:space="preserve">ONSITE COORDINATORS</t>
  </si>
  <si>
    <t xml:space="preserve">   Coordinator 1</t>
  </si>
  <si>
    <t xml:space="preserve">Event Coordinator</t>
  </si>
  <si>
    <t xml:space="preserve">   Coordinator 2</t>
  </si>
  <si>
    <t xml:space="preserve">Registration Coordinator</t>
  </si>
  <si>
    <t xml:space="preserve">   Coordinator 3</t>
  </si>
  <si>
    <t xml:space="preserve">Office Manager</t>
  </si>
  <si>
    <t xml:space="preserve">   Coordinator 4</t>
  </si>
  <si>
    <t xml:space="preserve">Production Assistant</t>
  </si>
  <si>
    <t xml:space="preserve">   Coordinator 5</t>
  </si>
  <si>
    <t xml:space="preserve">Exhibit Coordinator</t>
  </si>
  <si>
    <t xml:space="preserve">   Coordinator 6</t>
  </si>
  <si>
    <t xml:space="preserve">Housing Coordinator</t>
  </si>
  <si>
    <t xml:space="preserve">   Coordinator 7</t>
  </si>
  <si>
    <t xml:space="preserve">Coordinator 7</t>
  </si>
  <si>
    <t xml:space="preserve">   Coordinator 8</t>
  </si>
  <si>
    <t xml:space="preserve">Coordinator 8</t>
  </si>
  <si>
    <t xml:space="preserve">   Coordinator 9</t>
  </si>
  <si>
    <t xml:space="preserve">Coordinator 9</t>
  </si>
  <si>
    <t xml:space="preserve">   Coordinator 10</t>
  </si>
  <si>
    <t xml:space="preserve">Coordinator 10</t>
  </si>
  <si>
    <t xml:space="preserve">SCOPE OF WORK LIBRARY  —  turn line items on and off here</t>
  </si>
  <si>
    <t xml:space="preserve">Set INCLUDE? to Yes/No for each line. Hours calculate from the INPUTS tab; type a number in OVERRIDE HOURS to force a different number for any line.</t>
  </si>
  <si>
    <t xml:space="preserve">#</t>
  </si>
  <si>
    <t xml:space="preserve">SCOPE OF WORK ITEM</t>
  </si>
  <si>
    <t xml:space="preserve">STAFF
CATEGORY</t>
  </si>
  <si>
    <t xml:space="preserve">INCLUDE?</t>
  </si>
  <si>
    <t xml:space="preserve">HOW THE HOURS ARE CALCULATED</t>
  </si>
  <si>
    <t xml:space="preserve">CALC.
HOURS</t>
  </si>
  <si>
    <t xml:space="preserve">OVERRIDE
HOURS</t>
  </si>
  <si>
    <t xml:space="preserve">HOURS
USED</t>
  </si>
  <si>
    <t xml:space="preserve">CLIENT
RATE</t>
  </si>
  <si>
    <t xml:space="preserve">OUR
RATE</t>
  </si>
  <si>
    <t xml:space="preserve">CLIENT
COST</t>
  </si>
  <si>
    <t xml:space="preserve">OUR
COST</t>
  </si>
  <si>
    <t xml:space="preserve">LCT
2026</t>
  </si>
  <si>
    <t xml:space="preserve">AFCI
2027</t>
  </si>
  <si>
    <t xml:space="preserve">WTUI
2027</t>
  </si>
  <si>
    <t xml:space="preserve">SEQ</t>
  </si>
  <si>
    <t xml:space="preserve">Planning, Timeline &amp; Communications</t>
  </si>
  <si>
    <t xml:space="preserve">Manager</t>
  </si>
  <si>
    <t xml:space="preserve">Yes</t>
  </si>
  <si>
    <t xml:space="preserve">8 hrs per 3 onsite days</t>
  </si>
  <si>
    <t xml:space="preserve">Meetings &amp; Agendas</t>
  </si>
  <si>
    <t xml:space="preserve">Team</t>
  </si>
  <si>
    <t xml:space="preserve">1 per week x planning weeks</t>
  </si>
  <si>
    <t xml:space="preserve">Document Management (Admin Hours)</t>
  </si>
  <si>
    <t xml:space="preserve">Coordinator</t>
  </si>
  <si>
    <t xml:space="preserve">Project Management (PM Hours)</t>
  </si>
  <si>
    <t xml:space="preserve">Venue Management: Logistics, Meeting Space</t>
  </si>
  <si>
    <t xml:space="preserve">5% of attendees (20-75 hrs)</t>
  </si>
  <si>
    <t xml:space="preserve">Event Branding: Attendee Experience, Signage, Decor</t>
  </si>
  <si>
    <t xml:space="preserve">5% of attendees (18-55 hrs)</t>
  </si>
  <si>
    <t xml:space="preserve">Registration: Onsite Check-In Only</t>
  </si>
  <si>
    <t xml:space="preserve">3% of attendees (16-40 hrs)</t>
  </si>
  <si>
    <t xml:space="preserve">Registration: Online Build-Out + Onsite</t>
  </si>
  <si>
    <t xml:space="preserve">6% of attendees (30-150 hrs)</t>
  </si>
  <si>
    <t xml:space="preserve">Food &amp; Beverage</t>
  </si>
  <si>
    <t xml:space="preserve">3% of attendees (18-45 hrs)</t>
  </si>
  <si>
    <t xml:space="preserve">Housing Logistics: Room Blocks, Reports, Overflow</t>
  </si>
  <si>
    <t xml:space="preserve">3.5% of attendees (20-50 hrs)</t>
  </si>
  <si>
    <t xml:space="preserve">Programming: Audio Visual, Talent, Entertainment</t>
  </si>
  <si>
    <t xml:space="preserve">5% of attendees (12-65 hrs)</t>
  </si>
  <si>
    <t xml:space="preserve">Exhibit Management</t>
  </si>
  <si>
    <t xml:space="preserve">exhibitors x 1 hr</t>
  </si>
  <si>
    <t xml:space="preserve">Sponsorships: Opportunities &amp; Sponsor Management</t>
  </si>
  <si>
    <t xml:space="preserve">sponsors x 1.5 hrs, min 15</t>
  </si>
  <si>
    <t xml:space="preserve">Speaker Management: Prep &amp; Onsite</t>
  </si>
  <si>
    <t xml:space="preserve">speakers x 1 hr, min 10</t>
  </si>
  <si>
    <t xml:space="preserve">Third Party Vendors</t>
  </si>
  <si>
    <t xml:space="preserve">sourcing items x 5 hrs (25-50)</t>
  </si>
  <si>
    <t xml:space="preserve">Financial Management</t>
  </si>
  <si>
    <t xml:space="preserve">planning months x 2 hrs</t>
  </si>
  <si>
    <t xml:space="preserve">Event Marketing: Strategy, Social, Email, Messaging</t>
  </si>
  <si>
    <t xml:space="preserve">planning months x 6 hrs (30-60)</t>
  </si>
  <si>
    <t xml:space="preserve">Staff Management: Temporary Staff &amp; Volunteers</t>
  </si>
  <si>
    <t xml:space="preserve">10 hrs + 1 per event day, max 15</t>
  </si>
  <si>
    <t xml:space="preserve">Reception / Tournament / Special Event Planning</t>
  </si>
  <si>
    <t xml:space="preserve">planning months x 3 hrs (15-50)</t>
  </si>
  <si>
    <t xml:space="preserve">Post-Event: Reporting, Reconciliation, Debrief</t>
  </si>
  <si>
    <t xml:space="preserve">ENHANCEMENT: Graphic Design (web, signage, branding)</t>
  </si>
  <si>
    <t xml:space="preserve">flat 55 hrs</t>
  </si>
  <si>
    <t xml:space="preserve">ENHANCEMENT: Mobile App</t>
  </si>
  <si>
    <t xml:space="preserve">flat 60 hrs</t>
  </si>
  <si>
    <t xml:space="preserve">Stage Production &amp; Scripting</t>
  </si>
  <si>
    <t xml:space="preserve">flat 30 hrs</t>
  </si>
  <si>
    <t xml:space="preserve">Venue Sourcing — Future Year (RFP, analysis, contracts)</t>
  </si>
  <si>
    <t xml:space="preserve">flat 45 hrs</t>
  </si>
  <si>
    <t xml:space="preserve">Site Visits</t>
  </si>
  <si>
    <t xml:space="preserve">flat 20 hrs</t>
  </si>
  <si>
    <t xml:space="preserve">TOTALS — INCLUDED SCOPE</t>
  </si>
  <si>
    <t xml:space="preserve">Grey italic columns M:O are the ACTUAL hours charged on the three most recent final P&amp;Ls — use them as a sanity check on the calculated hours.</t>
  </si>
  <si>
    <t xml:space="preserve">STAFF CATEGORY drives the rate: Manager = manager rates; Coordinator = coordinator rates; Team = (pre-planning managers x manager rate) + (pre-planning coordinators x coordinator rate), which is how the weekly meeting line has always been priced.</t>
  </si>
  <si>
    <t xml:space="preserve">BENCHMARKS  —  the four final P&amp;Ls this model is built from</t>
  </si>
  <si>
    <t xml:space="preserve">Hardcoded from the source workbooks. Use to sanity-check a new P&amp;L before it goes out.</t>
  </si>
  <si>
    <t xml:space="preserve">EVENT</t>
  </si>
  <si>
    <t xml:space="preserve">SOURCE TAB</t>
  </si>
  <si>
    <t xml:space="preserve">ATTENDEES</t>
  </si>
  <si>
    <t xml:space="preserve">EVENT DAYS</t>
  </si>
  <si>
    <t xml:space="preserve">PRE-PLANNING HRS</t>
  </si>
  <si>
    <t xml:space="preserve">PRE-PLANNING CLIENT $</t>
  </si>
  <si>
    <t xml:space="preserve">ONSITE HRS</t>
  </si>
  <si>
    <t xml:space="preserve">ONSITE CLIENT $</t>
  </si>
  <si>
    <t xml:space="preserve">TOTAL CLIENT $</t>
  </si>
  <si>
    <t xml:space="preserve">TOTAL OUR COST $</t>
  </si>
  <si>
    <t xml:space="preserve">NET PROFIT $</t>
  </si>
  <si>
    <t xml:space="preserve">LCT / Marine Recreation Assn 2026</t>
  </si>
  <si>
    <t xml:space="preserve">FINAL June.10.2026 Version 3</t>
  </si>
  <si>
    <t xml:space="preserve">~200</t>
  </si>
  <si>
    <t xml:space="preserve">AFCI Studio Summit 2027</t>
  </si>
  <si>
    <t xml:space="preserve">FINAL July.27.2026 Version 2</t>
  </si>
  <si>
    <t xml:space="preserve">350-500</t>
  </si>
  <si>
    <t xml:space="preserve">WTUI 2027</t>
  </si>
  <si>
    <t xml:space="preserve">FINAL June.24.2026 Version 2</t>
  </si>
  <si>
    <t xml:space="preserve">1100-1500</t>
  </si>
  <si>
    <t xml:space="preserve">NICA 2026</t>
  </si>
  <si>
    <t xml:space="preserve">Actual NICA 2026</t>
  </si>
  <si>
    <t xml:space="preserve">n/a</t>
  </si>
  <si>
    <t xml:space="preserve">NICA 2026 predates the current template (it used per-person named rows rather than a scope-of-work list) and is shown for totals comparison only.</t>
  </si>
  <si>
    <t xml:space="preserve">BACK-TEST  —  the model re-run on each event's real inputs</t>
  </si>
  <si>
    <t xml:space="preserve">PRE-PLANNING HRS
model vs actual</t>
  </si>
  <si>
    <t xml:space="preserve">PRE-PLANNING $
model vs actual</t>
  </si>
  <si>
    <t xml:space="preserve">ONSITE HRS
model vs actual</t>
  </si>
  <si>
    <t xml:space="preserve">ONSITE $
model vs actual</t>
  </si>
  <si>
    <t xml:space="preserve">CLIENT SUBTOTAL
model vs actual</t>
  </si>
  <si>
    <t xml:space="preserve">269 vs 263  (+2%)</t>
  </si>
  <si>
    <t xml:space="preserve">$22,740 vs $22,315  (+2%)</t>
  </si>
  <si>
    <t xml:space="preserve">132 vs 132  (0%)</t>
  </si>
  <si>
    <t xml:space="preserve">$11,490 vs $11,100  (+4%)</t>
  </si>
  <si>
    <t xml:space="preserve">$34,230 vs $33,415  (+2%)</t>
  </si>
  <si>
    <t xml:space="preserve">446 vs 617  (-28%)</t>
  </si>
  <si>
    <t xml:space="preserve">$39,600 vs $51,845  (-24%)</t>
  </si>
  <si>
    <t xml:space="preserve">272 vs 272  (0%)</t>
  </si>
  <si>
    <t xml:space="preserve">$24,920 vs $27,800  (-10%)</t>
  </si>
  <si>
    <t xml:space="preserve">$64,520 vs $79,645  (-19%)</t>
  </si>
  <si>
    <t xml:space="preserve">1,159 vs 1,182  (-2%)</t>
  </si>
  <si>
    <t xml:space="preserve">$98,570 vs $107,870  (-9%)</t>
  </si>
  <si>
    <t xml:space="preserve">390 vs 350  (+11%)</t>
  </si>
  <si>
    <t xml:space="preserve">$34,725 vs $30,725  (+13%)</t>
  </si>
  <si>
    <t xml:space="preserve">$133,295 vs $138,595  (-4%)</t>
  </si>
  <si>
    <t xml:space="preserve">LCT and WTUI land within a few percent. AFCI reads low because its final proposal priced Registration at 150 hrs (full Cvent build-out plus mobile app) and Programming at 65 hrs (recording &amp; broadcast) — both well above base scope. Use OVERRIDE HOURS on the SCOPE tab when a line is genuinely bigger than standard.</t>
  </si>
  <si>
    <t xml:space="preserve">WTUI onsite reads high only because this model defaults managers to 12 hrs/onsite day; WTUI billed 10. Set 'Manager hours per onsite day' to 10 on INPUTS and the 390 becomes 350 — an exact match.</t>
  </si>
  <si>
    <t xml:space="preserve">WHAT CHANGED IN THIS MODEL</t>
  </si>
  <si>
    <t xml:space="preserve">PRIOR P&amp;Ls</t>
  </si>
  <si>
    <t xml:space="preserve">THIS MODEL</t>
  </si>
  <si>
    <t xml:space="preserve">Manager cost rate</t>
  </si>
  <si>
    <t xml:space="preserve">was $54/hr (PM) and $57/hr</t>
  </si>
  <si>
    <t xml:space="preserve">now $60/hr — flat, all manager hours</t>
  </si>
  <si>
    <t xml:space="preserve">Coordinator cost rate</t>
  </si>
  <si>
    <t xml:space="preserve">was $38/hr (EC) and $35/hr</t>
  </si>
  <si>
    <t xml:space="preserve">now $42/hr — flat, all coordinator hours</t>
  </si>
  <si>
    <t xml:space="preserve">Staff overhead</t>
  </si>
  <si>
    <t xml:space="preserve">not on prior P&amp;Ls</t>
  </si>
  <si>
    <t xml:space="preserve">NEW: $0.61 x every CTC staff hour, booked as a cost</t>
  </si>
  <si>
    <t xml:space="preserve">Admin fee</t>
  </si>
  <si>
    <t xml:space="preserve">NEW: 2% of the client subtotal, added to the client price</t>
  </si>
  <si>
    <t xml:space="preserve">Onsite staffing</t>
  </si>
  <si>
    <t xml:space="preserve">hand-typed, one row per named person</t>
  </si>
  <si>
    <t xml:space="preserve">driven by manager / coordinator headcount, one row per person</t>
  </si>
  <si>
    <t xml:space="preserve">Pre-planning staffing</t>
  </si>
  <si>
    <t xml:space="preserve">hand-typed per line</t>
  </si>
  <si>
    <t xml:space="preserve">rolled up by category (manager / coordinator / team)</t>
  </si>
  <si>
    <t xml:space="preserve">Scope hours</t>
  </si>
  <si>
    <t xml:space="preserve">typed in each time</t>
  </si>
  <si>
    <t xml:space="preserve">calculated from event size, schedule and planning months</t>
  </si>
  <si>
    <t xml:space="preserve">HOW TO BUILD A NEW CONFERENCE P&amp;L</t>
  </si>
  <si>
    <t xml:space="preserve">STEP 1 — INPUTS tab</t>
  </si>
  <si>
    <t xml:space="preserve">•  Fill in the yellow cells: event name, dates, attendees, exhibitors, sponsors, speakers, third-party items.</t>
  </si>
  <si>
    <t xml:space="preserve">•  Enter EVENT DAYS, SET-UP DAYS, TRAVEL DAYS and MONTHS OF PRE-PLANNING.</t>
  </si>
  <si>
    <t xml:space="preserve">•  Enter how many MANAGERS and COORDINATORS work the event onsite, and how many work it in pre-planning.</t>
  </si>
  <si>
    <t xml:space="preserve">•  Rates are pre-set: manager $60/hr cost, coordinator $42/hr cost. Change them only if the rate card changes.</t>
  </si>
  <si>
    <t xml:space="preserve">STEP 2 — SCOPE tab</t>
  </si>
  <si>
    <t xml:space="preserve">•  Set INCLUDE? to Yes or No on each of the 24 scope-of-work lines. That is your scope of work.</t>
  </si>
  <si>
    <t xml:space="preserve">•  Hours calculate automatically from the INPUTS. If you disagree with a number, type your own into OVERRIDE HOURS — nothing else needs to change.</t>
  </si>
  <si>
    <t xml:space="preserve">•  Columns M:O show what the last three events actually charged for that same line, as a reality check.</t>
  </si>
  <si>
    <t xml:space="preserve">STEP 3 — P&amp;L tab</t>
  </si>
  <si>
    <t xml:space="preserve">•  Read it. Nothing to type. The proposal summary, the pre-planning table, the onsite table, overhead and the admin fee are all live formulas.</t>
  </si>
  <si>
    <t xml:space="preserve">•  Watch HRS / PERSON / WEEK in the category block — over ~10 means the headcount is too thin for the scope.</t>
  </si>
  <si>
    <t xml:space="preserve">HOW THE MONEY WORKS</t>
  </si>
  <si>
    <t xml:space="preserve">•  CLIENT COST = hours x client rate.  Pre-planning: manager $90 / coordinator $65. Onsite: manager $100 / coordinator $65. Coordinator overtime bills at 1.5x.</t>
  </si>
  <si>
    <t xml:space="preserve">•  OUR COST = hours x our rate. Manager $60, coordinator $42, overtime 1.5x.</t>
  </si>
  <si>
    <t xml:space="preserve">•  STAFF OVERHEAD = $0.61 x every CTC staff hour (pre-planning + onsite + overtime). A cost to us — it is not billed, so it comes out of profit.</t>
  </si>
  <si>
    <t xml:space="preserve">•  ADMIN FEE = 2% of the client subtotal, added to what the client pays. It has no cost against it, so all of it is profit.</t>
  </si>
  <si>
    <t xml:space="preserve">•  MULTI-YEAR DISCOUNT = the 5% off used on NICA and WTUI. Off by default — switch 'Apply Multi-Year Discount?' to Yes on INPUTS.</t>
  </si>
  <si>
    <t xml:space="preserve">WHERE THE HOUR DRIVERS CAME FROM</t>
  </si>
  <si>
    <t xml:space="preserve">•  Every driver is calibrated against the final LCT 2026, AFCI 2027 and WTUI 2027 P&amp;Ls. Where the old note in the sheet disagreed with what was actually charged, the actuals won — e.g. Exhibit Management was noted as 'exhibitors x 5' but was charged at exactly exhibitors x 1 on both WTUI (200) and LCT (35).</t>
  </si>
  <si>
    <t xml:space="preserve">•  Percentage-of-attendee drivers carry a floor and a cap so a 1,500-person event does not produce an absurd number. The bands are the observed range across the three finals.</t>
  </si>
  <si>
    <t xml:space="preserve">•  See the BENCHMARKS tab for the totals each of those P&amp;Ls landed on.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</si>
</sst>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#,##0.0;;\-"/>
    <numFmt numFmtId="170" formatCode="0.00\x"/>
    <numFmt numFmtId="171" formatCode="0.0%"/>
    <numFmt numFmtId="172" formatCode="0"/>
    <numFmt numFmtId="173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6"/>
      <color rgb="FF2E7D8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4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D8F"/>
        <bgColor rgb="FF008080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404040"/>
      </top>
      <bottom style="double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8F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3"/>
    <col collapsed="false" customWidth="true" hidden="false" outlineLevel="0" max="11" min="11" style="0" width="11"/>
  </cols>
  <sheetData>
    <row r="1" customFormat="false" ht="19.7" hidden="false" customHeight="false" outlineLevel="0" collapsed="false">
      <c r="A1" s="1" t="s">
        <v>0</v>
      </c>
      <c r="B1" s="2"/>
      <c r="C1" s="3" t="str">
        <f aca="false">INPUTS!B5</f>
        <v>New Conference 2027</v>
      </c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2"/>
      <c r="B2" s="4" t="str">
        <f aca="false">INPUTS!B6&amp;"   |   "&amp;INPUTS!B7&amp;"   |   "&amp;TEXT(INPUTS!B18,"0")&amp; " onsite days   |   "&amp;TEXT(INPUTS!B19,"0")&amp;" months planning"</f>
        <v>April 6-8, 2027   |   Los Angeles, CA   |   4 onsite days   |   9 months planning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2"/>
      <c r="B4" s="5" t="s">
        <v>1</v>
      </c>
      <c r="C4" s="5"/>
      <c r="D4" s="5"/>
      <c r="E4" s="5"/>
      <c r="F4" s="5"/>
      <c r="G4" s="2"/>
      <c r="H4" s="2"/>
      <c r="I4" s="2"/>
      <c r="J4" s="2"/>
      <c r="K4" s="2"/>
    </row>
    <row r="5" customFormat="false" ht="27.75" hidden="false" customHeight="true" outlineLevel="0" collapsed="false">
      <c r="A5" s="2"/>
      <c r="B5" s="6" t="s">
        <v>2</v>
      </c>
      <c r="C5" s="6" t="s">
        <v>3</v>
      </c>
      <c r="D5" s="6" t="s">
        <v>4</v>
      </c>
      <c r="E5" s="6" t="s">
        <v>5</v>
      </c>
      <c r="F5" s="6" t="s">
        <v>6</v>
      </c>
      <c r="G5" s="2"/>
      <c r="H5" s="2"/>
      <c r="I5" s="2"/>
      <c r="J5" s="2"/>
      <c r="K5" s="2"/>
    </row>
    <row r="6" customFormat="false" ht="15" hidden="false" customHeight="false" outlineLevel="0" collapsed="false">
      <c r="A6" s="2"/>
      <c r="B6" s="7" t="str">
        <f aca="false">"Pre-Planning / Project Hours  ("&amp;TEXT(E48,"#,##0")&amp;" hrs)"</f>
        <v>Pre-Planning / Project Hours  (423 hrs)</v>
      </c>
      <c r="C6" s="8" t="n">
        <f aca="false">F48</f>
        <v>37380</v>
      </c>
      <c r="D6" s="8" t="n">
        <f aca="false">I48</f>
        <v>24696</v>
      </c>
      <c r="E6" s="8" t="n">
        <f aca="false">C6-D6</f>
        <v>12684</v>
      </c>
      <c r="F6" s="9" t="n">
        <f aca="false">IF(C6=0,"",E6/C6)</f>
        <v>0.339325842696629</v>
      </c>
      <c r="G6" s="2"/>
      <c r="H6" s="2"/>
      <c r="I6" s="2"/>
      <c r="J6" s="2"/>
      <c r="K6" s="2"/>
    </row>
    <row r="7" customFormat="false" ht="15" hidden="false" customHeight="false" outlineLevel="0" collapsed="false">
      <c r="A7" s="2"/>
      <c r="B7" s="7" t="str">
        <f aca="false">"Onsite Management  ("&amp;TEXT(E73,"#,##0")&amp;" hrs)"</f>
        <v>Onsite Management  (224 hrs)</v>
      </c>
      <c r="C7" s="8" t="n">
        <f aca="false">F73</f>
        <v>20120</v>
      </c>
      <c r="D7" s="8" t="n">
        <f aca="false">I73</f>
        <v>12336</v>
      </c>
      <c r="E7" s="8" t="n">
        <f aca="false">C7-D7</f>
        <v>7784</v>
      </c>
      <c r="F7" s="9" t="n">
        <f aca="false">IF(C7=0,"",E7/C7)</f>
        <v>0.386878727634195</v>
      </c>
      <c r="G7" s="2"/>
      <c r="H7" s="2"/>
      <c r="I7" s="2"/>
      <c r="J7" s="2"/>
      <c r="K7" s="2"/>
    </row>
    <row r="8" customFormat="false" ht="15" hidden="false" customHeight="false" outlineLevel="0" collapsed="false">
      <c r="A8" s="2"/>
      <c r="B8" s="7" t="str">
        <f aca="false">"Staff Overhead  ("&amp;TEXT(INPUTS!$B$44,"$0.00")&amp;" / staff hour)"</f>
        <v>Staff Overhead  ($0.61 / staff hour)</v>
      </c>
      <c r="C8" s="8" t="n">
        <v>0</v>
      </c>
      <c r="D8" s="8" t="n">
        <f aca="false">E79</f>
        <v>394.67</v>
      </c>
      <c r="E8" s="8" t="n">
        <f aca="false">C8-D8</f>
        <v>-394.67</v>
      </c>
      <c r="F8" s="9" t="str">
        <f aca="false">IF(C8=0,"",E8/C8)</f>
        <v/>
      </c>
      <c r="G8" s="2"/>
      <c r="H8" s="2"/>
      <c r="I8" s="2"/>
      <c r="J8" s="2"/>
      <c r="K8" s="2"/>
    </row>
    <row r="9" customFormat="false" ht="15" hidden="false" customHeight="false" outlineLevel="0" collapsed="false">
      <c r="A9" s="2"/>
      <c r="B9" s="10" t="s">
        <v>7</v>
      </c>
      <c r="C9" s="11" t="n">
        <f aca="false">SUM(C6:C8)</f>
        <v>57500</v>
      </c>
      <c r="D9" s="11" t="n">
        <f aca="false">SUM(D6:D8)</f>
        <v>37426.67</v>
      </c>
      <c r="E9" s="11" t="n">
        <f aca="false">SUM(E6:E8)</f>
        <v>20073.33</v>
      </c>
      <c r="F9" s="12" t="n">
        <f aca="false">IF(C9=0,"",E9/C9)</f>
        <v>0.349101391304348</v>
      </c>
      <c r="G9" s="2"/>
      <c r="H9" s="2"/>
      <c r="I9" s="2"/>
      <c r="J9" s="2"/>
      <c r="K9" s="2"/>
    </row>
    <row r="10" customFormat="false" ht="15" hidden="false" customHeight="false" outlineLevel="0" collapsed="false">
      <c r="A10" s="2"/>
      <c r="B10" s="7" t="str">
        <f aca="false">"Admin Fee  ("&amp;TEXT(INPUTS!$B$45,"0.0%")&amp;" of client subtotal)"</f>
        <v>Admin Fee  (2.0% of client subtotal)</v>
      </c>
      <c r="C10" s="8" t="n">
        <f aca="false">C9*INPUTS!$B$45</f>
        <v>1150</v>
      </c>
      <c r="D10" s="8" t="n">
        <v>0</v>
      </c>
      <c r="E10" s="8" t="n">
        <f aca="false">C10-D10</f>
        <v>1150</v>
      </c>
      <c r="F10" s="9"/>
      <c r="G10" s="2"/>
      <c r="H10" s="2"/>
      <c r="I10" s="2"/>
      <c r="J10" s="2"/>
      <c r="K10" s="2"/>
    </row>
    <row r="11" customFormat="false" ht="15" hidden="false" customHeight="false" outlineLevel="0" collapsed="false">
      <c r="A11" s="2"/>
      <c r="B11" s="7" t="str">
        <f aca="false">"Less Multi-Year Discount  ("&amp;TEXT(INPUTS!$B$46,"0.0%")&amp;")"</f>
        <v>Less Multi-Year Discount  (5.0%)</v>
      </c>
      <c r="C11" s="8" t="n">
        <f aca="false">-IF(INPUTS!$B$47="Yes",(C9+C10)*INPUTS!$B$46,0)</f>
        <v>-0</v>
      </c>
      <c r="D11" s="8" t="n">
        <v>0</v>
      </c>
      <c r="E11" s="8" t="n">
        <f aca="false">C11-D11</f>
        <v>-0</v>
      </c>
      <c r="F11" s="9"/>
      <c r="G11" s="2"/>
      <c r="H11" s="2"/>
      <c r="I11" s="2"/>
      <c r="J11" s="2"/>
      <c r="K11" s="2"/>
    </row>
    <row r="12" customFormat="false" ht="15" hidden="false" customHeight="false" outlineLevel="0" collapsed="false">
      <c r="A12" s="2"/>
      <c r="B12" s="13" t="s">
        <v>8</v>
      </c>
      <c r="C12" s="14" t="n">
        <f aca="false">SUM(C9:C11)</f>
        <v>58650</v>
      </c>
      <c r="D12" s="14" t="n">
        <f aca="false">SUM(D9:D11)</f>
        <v>37426.67</v>
      </c>
      <c r="E12" s="14" t="n">
        <f aca="false">SUM(E9:E11)</f>
        <v>21223.33</v>
      </c>
      <c r="F12" s="15" t="n">
        <f aca="false">IF(C12=0,"",E12/C12)</f>
        <v>0.36186410912191</v>
      </c>
      <c r="G12" s="2"/>
      <c r="H12" s="2"/>
      <c r="I12" s="2"/>
      <c r="J12" s="2"/>
      <c r="K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2"/>
      <c r="B14" s="5" t="s">
        <v>9</v>
      </c>
      <c r="C14" s="5"/>
      <c r="D14" s="5"/>
      <c r="E14" s="5"/>
      <c r="F14" s="5"/>
      <c r="G14" s="5"/>
      <c r="H14" s="2"/>
      <c r="I14" s="2"/>
      <c r="J14" s="2"/>
      <c r="K14" s="2"/>
    </row>
    <row r="15" customFormat="false" ht="33.75" hidden="false" customHeight="true" outlineLevel="0" collapsed="false">
      <c r="A15" s="2"/>
      <c r="B15" s="6" t="s">
        <v>10</v>
      </c>
      <c r="C15" s="6" t="s">
        <v>11</v>
      </c>
      <c r="D15" s="6" t="s">
        <v>12</v>
      </c>
      <c r="E15" s="6" t="s">
        <v>4</v>
      </c>
      <c r="F15" s="6" t="s">
        <v>13</v>
      </c>
      <c r="G15" s="6" t="s">
        <v>14</v>
      </c>
      <c r="H15" s="2"/>
      <c r="I15" s="2"/>
      <c r="J15" s="2"/>
      <c r="K15" s="2"/>
    </row>
    <row r="16" customFormat="false" ht="15" hidden="false" customHeight="false" outlineLevel="0" collapsed="false">
      <c r="A16" s="2"/>
      <c r="B16" s="7" t="s">
        <v>15</v>
      </c>
      <c r="C16" s="16" t="n">
        <f aca="false">SUMIFS(SCOPE!$H$4:$H$28,SCOPE!$C$4:$C$28,"Manager",SCOPE!$D$4:$D$28,"Yes")</f>
        <v>255</v>
      </c>
      <c r="D16" s="17" t="n">
        <f aca="false">INPUTS!$B$29</f>
        <v>60</v>
      </c>
      <c r="E16" s="8" t="n">
        <f aca="false">C16*D16</f>
        <v>15300</v>
      </c>
      <c r="F16" s="16" t="n">
        <f aca="false">INPUTS!$B$25</f>
        <v>1</v>
      </c>
      <c r="G16" s="18" t="n">
        <f aca="false">IF(OR(F16=0,INPUTS!$B$20=0),"",C16/F16/INPUTS!$B$20)</f>
        <v>6.53846153846154</v>
      </c>
      <c r="H16" s="2"/>
      <c r="I16" s="2"/>
      <c r="J16" s="2"/>
      <c r="K16" s="2"/>
    </row>
    <row r="17" customFormat="false" ht="15" hidden="false" customHeight="false" outlineLevel="0" collapsed="false">
      <c r="A17" s="2"/>
      <c r="B17" s="7" t="s">
        <v>16</v>
      </c>
      <c r="C17" s="16" t="n">
        <f aca="false">SUMIFS(SCOPE!$H$4:$H$28,SCOPE!$C$4:$C$28,"Coordinator",SCOPE!$D$4:$D$28,"Yes")</f>
        <v>129</v>
      </c>
      <c r="D17" s="17" t="n">
        <f aca="false">INPUTS!$B$30</f>
        <v>42</v>
      </c>
      <c r="E17" s="8" t="n">
        <f aca="false">C17*D17</f>
        <v>5418</v>
      </c>
      <c r="F17" s="16" t="n">
        <f aca="false">INPUTS!$B$26</f>
        <v>1</v>
      </c>
      <c r="G17" s="18" t="n">
        <f aca="false">IF(OR(F17=0,INPUTS!$B$20=0),"",C17/F17/INPUTS!$B$20)</f>
        <v>3.30769230769231</v>
      </c>
      <c r="H17" s="2"/>
      <c r="I17" s="2"/>
      <c r="J17" s="2"/>
      <c r="K17" s="2"/>
    </row>
    <row r="18" customFormat="false" ht="15" hidden="false" customHeight="false" outlineLevel="0" collapsed="false">
      <c r="A18" s="2"/>
      <c r="B18" s="7" t="s">
        <v>17</v>
      </c>
      <c r="C18" s="16" t="n">
        <f aca="false">SUMIFS(SCOPE!$H$4:$H$28,SCOPE!$C$4:$C$28,"Team",SCOPE!$D$4:$D$28,"Yes")</f>
        <v>39</v>
      </c>
      <c r="D18" s="17" t="n">
        <f aca="false">INPUTS!$B$25*INPUTS!$B$29+INPUTS!$B$26*INPUTS!$B$30</f>
        <v>102</v>
      </c>
      <c r="E18" s="8" t="n">
        <f aca="false">C18*D18</f>
        <v>3978</v>
      </c>
      <c r="F18" s="16" t="n">
        <f aca="false">INPUTS!$B$25+INPUTS!$B$26</f>
        <v>2</v>
      </c>
      <c r="G18" s="18" t="n">
        <f aca="false">IF(INPUTS!$B$20=0,"",C18/INPUTS!$B$20)</f>
        <v>1</v>
      </c>
      <c r="H18" s="2"/>
      <c r="I18" s="2"/>
      <c r="J18" s="2"/>
      <c r="K18" s="2"/>
    </row>
    <row r="19" customFormat="false" ht="15" hidden="false" customHeight="false" outlineLevel="0" collapsed="false">
      <c r="A19" s="2"/>
      <c r="B19" s="19" t="s">
        <v>18</v>
      </c>
      <c r="C19" s="20" t="n">
        <f aca="false">SUM(C16:C18)</f>
        <v>423</v>
      </c>
      <c r="D19" s="21"/>
      <c r="E19" s="22" t="n">
        <f aca="false">SUM(E16:E18)</f>
        <v>24696</v>
      </c>
      <c r="F19" s="20" t="n">
        <f aca="false">INPUTS!$B$25+INPUTS!$B$26</f>
        <v>2</v>
      </c>
      <c r="G19" s="23"/>
      <c r="H19" s="2"/>
      <c r="I19" s="2"/>
      <c r="J19" s="2"/>
      <c r="K19" s="2"/>
    </row>
    <row r="20" customFormat="false" ht="15" hidden="false" customHeight="false" outlineLevel="0" collapsed="false">
      <c r="A20" s="2"/>
      <c r="B20" s="24" t="s">
        <v>19</v>
      </c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2"/>
      <c r="B21" s="5" t="s">
        <v>20</v>
      </c>
      <c r="C21" s="5"/>
      <c r="D21" s="5"/>
      <c r="E21" s="5"/>
      <c r="F21" s="5"/>
      <c r="G21" s="5"/>
      <c r="H21" s="5"/>
      <c r="I21" s="5"/>
      <c r="J21" s="5"/>
      <c r="K21" s="5"/>
    </row>
    <row r="22" customFormat="false" ht="27.75" hidden="false" customHeight="true" outlineLevel="0" collapsed="false">
      <c r="A22" s="2"/>
      <c r="B22" s="6" t="s">
        <v>21</v>
      </c>
      <c r="C22" s="6" t="s">
        <v>22</v>
      </c>
      <c r="D22" s="6" t="s">
        <v>23</v>
      </c>
      <c r="E22" s="6" t="s">
        <v>11</v>
      </c>
      <c r="F22" s="6" t="s">
        <v>3</v>
      </c>
      <c r="G22" s="6" t="s">
        <v>24</v>
      </c>
      <c r="H22" s="6" t="s">
        <v>11</v>
      </c>
      <c r="I22" s="6" t="s">
        <v>4</v>
      </c>
      <c r="J22" s="6" t="s">
        <v>5</v>
      </c>
      <c r="K22" s="6" t="s">
        <v>6</v>
      </c>
    </row>
    <row r="23" customFormat="false" ht="15" hidden="false" customHeight="false" outlineLevel="0" collapsed="false">
      <c r="A23" s="2"/>
      <c r="B23" s="25" t="str">
        <f aca="false">IFERROR(INDEX(SCOPE!$B$4:$B$28,MATCH(1,SCOPE!$P$4:$P$28,0)),"")</f>
        <v>Planning, Timeline &amp; Communications</v>
      </c>
      <c r="C23" s="26" t="str">
        <f aca="false">IFERROR(INDEX(SCOPE!$C$4:$C$28,MATCH(1,SCOPE!$P$4:$P$28,0)),"")</f>
        <v>Manager</v>
      </c>
      <c r="D23" s="27" t="n">
        <f aca="false">IFERROR(INDEX(SCOPE!$I$4:$I$28,MATCH(1,SCOPE!$P$4:$P$28,0)),"")</f>
        <v>90</v>
      </c>
      <c r="E23" s="28" t="n">
        <f aca="false">IFERROR(INDEX(SCOPE!$H$4:$H$28,MATCH(1,SCOPE!$P$4:$P$28,0)),"")</f>
        <v>16</v>
      </c>
      <c r="F23" s="29" t="n">
        <f aca="false">IF(B23="","",D23*E23)</f>
        <v>1440</v>
      </c>
      <c r="G23" s="27" t="n">
        <f aca="false">IFERROR(INDEX(SCOPE!$J$4:$J$28,MATCH(1,SCOPE!$P$4:$P$28,0)),"")</f>
        <v>60</v>
      </c>
      <c r="H23" s="28" t="n">
        <f aca="false">IF(B23="","",E23)</f>
        <v>16</v>
      </c>
      <c r="I23" s="29" t="n">
        <f aca="false">IF(B23="","",G23*H23)</f>
        <v>960</v>
      </c>
      <c r="J23" s="29" t="n">
        <f aca="false">IF(B23="","",F23-I23)</f>
        <v>480</v>
      </c>
      <c r="K23" s="30" t="n">
        <f aca="false">IF(OR(B23="",F23=0),"",J23/F23)</f>
        <v>0.333333333333333</v>
      </c>
    </row>
    <row r="24" customFormat="false" ht="15" hidden="false" customHeight="false" outlineLevel="0" collapsed="false">
      <c r="A24" s="2"/>
      <c r="B24" s="25" t="str">
        <f aca="false">IFERROR(INDEX(SCOPE!$B$4:$B$28,MATCH(2,SCOPE!$P$4:$P$28,0)),"")</f>
        <v>Meetings &amp; Agendas</v>
      </c>
      <c r="C24" s="26" t="str">
        <f aca="false">IFERROR(INDEX(SCOPE!$C$4:$C$28,MATCH(2,SCOPE!$P$4:$P$28,0)),"")</f>
        <v>Team</v>
      </c>
      <c r="D24" s="27" t="n">
        <f aca="false">IFERROR(INDEX(SCOPE!$I$4:$I$28,MATCH(2,SCOPE!$P$4:$P$28,0)),"")</f>
        <v>155</v>
      </c>
      <c r="E24" s="28" t="n">
        <f aca="false">IFERROR(INDEX(SCOPE!$H$4:$H$28,MATCH(2,SCOPE!$P$4:$P$28,0)),"")</f>
        <v>39</v>
      </c>
      <c r="F24" s="29" t="n">
        <f aca="false">IF(B24="","",D24*E24)</f>
        <v>6045</v>
      </c>
      <c r="G24" s="27" t="n">
        <f aca="false">IFERROR(INDEX(SCOPE!$J$4:$J$28,MATCH(2,SCOPE!$P$4:$P$28,0)),"")</f>
        <v>102</v>
      </c>
      <c r="H24" s="28" t="n">
        <f aca="false">IF(B24="","",E24)</f>
        <v>39</v>
      </c>
      <c r="I24" s="29" t="n">
        <f aca="false">IF(B24="","",G24*H24)</f>
        <v>3978</v>
      </c>
      <c r="J24" s="29" t="n">
        <f aca="false">IF(B24="","",F24-I24)</f>
        <v>2067</v>
      </c>
      <c r="K24" s="30" t="n">
        <f aca="false">IF(OR(B24="",F24=0),"",J24/F24)</f>
        <v>0.341935483870968</v>
      </c>
    </row>
    <row r="25" customFormat="false" ht="15" hidden="false" customHeight="false" outlineLevel="0" collapsed="false">
      <c r="A25" s="2"/>
      <c r="B25" s="25" t="str">
        <f aca="false">IFERROR(INDEX(SCOPE!$B$4:$B$28,MATCH(3,SCOPE!$P$4:$P$28,0)),"")</f>
        <v>Document Management (Admin Hours)</v>
      </c>
      <c r="C25" s="26" t="str">
        <f aca="false">IFERROR(INDEX(SCOPE!$C$4:$C$28,MATCH(3,SCOPE!$P$4:$P$28,0)),"")</f>
        <v>Coordinator</v>
      </c>
      <c r="D25" s="27" t="n">
        <f aca="false">IFERROR(INDEX(SCOPE!$I$4:$I$28,MATCH(3,SCOPE!$P$4:$P$28,0)),"")</f>
        <v>65</v>
      </c>
      <c r="E25" s="28" t="n">
        <f aca="false">IFERROR(INDEX(SCOPE!$H$4:$H$28,MATCH(3,SCOPE!$P$4:$P$28,0)),"")</f>
        <v>39</v>
      </c>
      <c r="F25" s="29" t="n">
        <f aca="false">IF(B25="","",D25*E25)</f>
        <v>2535</v>
      </c>
      <c r="G25" s="27" t="n">
        <f aca="false">IFERROR(INDEX(SCOPE!$J$4:$J$28,MATCH(3,SCOPE!$P$4:$P$28,0)),"")</f>
        <v>42</v>
      </c>
      <c r="H25" s="28" t="n">
        <f aca="false">IF(B25="","",E25)</f>
        <v>39</v>
      </c>
      <c r="I25" s="29" t="n">
        <f aca="false">IF(B25="","",G25*H25)</f>
        <v>1638</v>
      </c>
      <c r="J25" s="29" t="n">
        <f aca="false">IF(B25="","",F25-I25)</f>
        <v>897</v>
      </c>
      <c r="K25" s="30" t="n">
        <f aca="false">IF(OR(B25="",F25=0),"",J25/F25)</f>
        <v>0.353846153846154</v>
      </c>
    </row>
    <row r="26" customFormat="false" ht="15" hidden="false" customHeight="false" outlineLevel="0" collapsed="false">
      <c r="A26" s="2"/>
      <c r="B26" s="25" t="str">
        <f aca="false">IFERROR(INDEX(SCOPE!$B$4:$B$28,MATCH(4,SCOPE!$P$4:$P$28,0)),"")</f>
        <v>Project Management (PM Hours)</v>
      </c>
      <c r="C26" s="26" t="str">
        <f aca="false">IFERROR(INDEX(SCOPE!$C$4:$C$28,MATCH(4,SCOPE!$P$4:$P$28,0)),"")</f>
        <v>Manager</v>
      </c>
      <c r="D26" s="27" t="n">
        <f aca="false">IFERROR(INDEX(SCOPE!$I$4:$I$28,MATCH(4,SCOPE!$P$4:$P$28,0)),"")</f>
        <v>90</v>
      </c>
      <c r="E26" s="28" t="n">
        <f aca="false">IFERROR(INDEX(SCOPE!$H$4:$H$28,MATCH(4,SCOPE!$P$4:$P$28,0)),"")</f>
        <v>39</v>
      </c>
      <c r="F26" s="29" t="n">
        <f aca="false">IF(B26="","",D26*E26)</f>
        <v>3510</v>
      </c>
      <c r="G26" s="27" t="n">
        <f aca="false">IFERROR(INDEX(SCOPE!$J$4:$J$28,MATCH(4,SCOPE!$P$4:$P$28,0)),"")</f>
        <v>60</v>
      </c>
      <c r="H26" s="28" t="n">
        <f aca="false">IF(B26="","",E26)</f>
        <v>39</v>
      </c>
      <c r="I26" s="29" t="n">
        <f aca="false">IF(B26="","",G26*H26)</f>
        <v>2340</v>
      </c>
      <c r="J26" s="29" t="n">
        <f aca="false">IF(B26="","",F26-I26)</f>
        <v>1170</v>
      </c>
      <c r="K26" s="30" t="n">
        <f aca="false">IF(OR(B26="",F26=0),"",J26/F26)</f>
        <v>0.333333333333333</v>
      </c>
    </row>
    <row r="27" customFormat="false" ht="15" hidden="false" customHeight="false" outlineLevel="0" collapsed="false">
      <c r="A27" s="2"/>
      <c r="B27" s="25" t="str">
        <f aca="false">IFERROR(INDEX(SCOPE!$B$4:$B$28,MATCH(5,SCOPE!$P$4:$P$28,0)),"")</f>
        <v>Venue Management: Logistics, Meeting Space</v>
      </c>
      <c r="C27" s="26" t="str">
        <f aca="false">IFERROR(INDEX(SCOPE!$C$4:$C$28,MATCH(5,SCOPE!$P$4:$P$28,0)),"")</f>
        <v>Manager</v>
      </c>
      <c r="D27" s="27" t="n">
        <f aca="false">IFERROR(INDEX(SCOPE!$I$4:$I$28,MATCH(5,SCOPE!$P$4:$P$28,0)),"")</f>
        <v>90</v>
      </c>
      <c r="E27" s="28" t="n">
        <f aca="false">IFERROR(INDEX(SCOPE!$H$4:$H$28,MATCH(5,SCOPE!$P$4:$P$28,0)),"")</f>
        <v>25</v>
      </c>
      <c r="F27" s="29" t="n">
        <f aca="false">IF(B27="","",D27*E27)</f>
        <v>2250</v>
      </c>
      <c r="G27" s="27" t="n">
        <f aca="false">IFERROR(INDEX(SCOPE!$J$4:$J$28,MATCH(5,SCOPE!$P$4:$P$28,0)),"")</f>
        <v>60</v>
      </c>
      <c r="H27" s="28" t="n">
        <f aca="false">IF(B27="","",E27)</f>
        <v>25</v>
      </c>
      <c r="I27" s="29" t="n">
        <f aca="false">IF(B27="","",G27*H27)</f>
        <v>1500</v>
      </c>
      <c r="J27" s="29" t="n">
        <f aca="false">IF(B27="","",F27-I27)</f>
        <v>750</v>
      </c>
      <c r="K27" s="30" t="n">
        <f aca="false">IF(OR(B27="",F27=0),"",J27/F27)</f>
        <v>0.333333333333333</v>
      </c>
    </row>
    <row r="28" customFormat="false" ht="15" hidden="false" customHeight="false" outlineLevel="0" collapsed="false">
      <c r="A28" s="2"/>
      <c r="B28" s="25" t="str">
        <f aca="false">IFERROR(INDEX(SCOPE!$B$4:$B$28,MATCH(6,SCOPE!$P$4:$P$28,0)),"")</f>
        <v>Event Branding: Attendee Experience, Signage, Decor</v>
      </c>
      <c r="C28" s="26" t="str">
        <f aca="false">IFERROR(INDEX(SCOPE!$C$4:$C$28,MATCH(6,SCOPE!$P$4:$P$28,0)),"")</f>
        <v>Manager</v>
      </c>
      <c r="D28" s="27" t="n">
        <f aca="false">IFERROR(INDEX(SCOPE!$I$4:$I$28,MATCH(6,SCOPE!$P$4:$P$28,0)),"")</f>
        <v>90</v>
      </c>
      <c r="E28" s="28" t="n">
        <f aca="false">IFERROR(INDEX(SCOPE!$H$4:$H$28,MATCH(6,SCOPE!$P$4:$P$28,0)),"")</f>
        <v>25</v>
      </c>
      <c r="F28" s="29" t="n">
        <f aca="false">IF(B28="","",D28*E28)</f>
        <v>2250</v>
      </c>
      <c r="G28" s="27" t="n">
        <f aca="false">IFERROR(INDEX(SCOPE!$J$4:$J$28,MATCH(6,SCOPE!$P$4:$P$28,0)),"")</f>
        <v>60</v>
      </c>
      <c r="H28" s="28" t="n">
        <f aca="false">IF(B28="","",E28)</f>
        <v>25</v>
      </c>
      <c r="I28" s="29" t="n">
        <f aca="false">IF(B28="","",G28*H28)</f>
        <v>1500</v>
      </c>
      <c r="J28" s="29" t="n">
        <f aca="false">IF(B28="","",F28-I28)</f>
        <v>750</v>
      </c>
      <c r="K28" s="30" t="n">
        <f aca="false">IF(OR(B28="",F28=0),"",J28/F28)</f>
        <v>0.333333333333333</v>
      </c>
    </row>
    <row r="29" customFormat="false" ht="15" hidden="false" customHeight="false" outlineLevel="0" collapsed="false">
      <c r="A29" s="2"/>
      <c r="B29" s="25" t="str">
        <f aca="false">IFERROR(INDEX(SCOPE!$B$4:$B$28,MATCH(7,SCOPE!$P$4:$P$28,0)),"")</f>
        <v>Registration: Online Build-Out + Onsite</v>
      </c>
      <c r="C29" s="26" t="str">
        <f aca="false">IFERROR(INDEX(SCOPE!$C$4:$C$28,MATCH(7,SCOPE!$P$4:$P$28,0)),"")</f>
        <v>Coordinator</v>
      </c>
      <c r="D29" s="27" t="n">
        <f aca="false">IFERROR(INDEX(SCOPE!$I$4:$I$28,MATCH(7,SCOPE!$P$4:$P$28,0)),"")</f>
        <v>65</v>
      </c>
      <c r="E29" s="28" t="n">
        <f aca="false">IFERROR(INDEX(SCOPE!$H$4:$H$28,MATCH(7,SCOPE!$P$4:$P$28,0)),"")</f>
        <v>30</v>
      </c>
      <c r="F29" s="29" t="n">
        <f aca="false">IF(B29="","",D29*E29)</f>
        <v>1950</v>
      </c>
      <c r="G29" s="27" t="n">
        <f aca="false">IFERROR(INDEX(SCOPE!$J$4:$J$28,MATCH(7,SCOPE!$P$4:$P$28,0)),"")</f>
        <v>42</v>
      </c>
      <c r="H29" s="28" t="n">
        <f aca="false">IF(B29="","",E29)</f>
        <v>30</v>
      </c>
      <c r="I29" s="29" t="n">
        <f aca="false">IF(B29="","",G29*H29)</f>
        <v>1260</v>
      </c>
      <c r="J29" s="29" t="n">
        <f aca="false">IF(B29="","",F29-I29)</f>
        <v>690</v>
      </c>
      <c r="K29" s="30" t="n">
        <f aca="false">IF(OR(B29="",F29=0),"",J29/F29)</f>
        <v>0.353846153846154</v>
      </c>
    </row>
    <row r="30" customFormat="false" ht="15" hidden="false" customHeight="false" outlineLevel="0" collapsed="false">
      <c r="A30" s="2"/>
      <c r="B30" s="25" t="str">
        <f aca="false">IFERROR(INDEX(SCOPE!$B$4:$B$28,MATCH(8,SCOPE!$P$4:$P$28,0)),"")</f>
        <v>Food &amp; Beverage</v>
      </c>
      <c r="C30" s="26" t="str">
        <f aca="false">IFERROR(INDEX(SCOPE!$C$4:$C$28,MATCH(8,SCOPE!$P$4:$P$28,0)),"")</f>
        <v>Manager</v>
      </c>
      <c r="D30" s="27" t="n">
        <f aca="false">IFERROR(INDEX(SCOPE!$I$4:$I$28,MATCH(8,SCOPE!$P$4:$P$28,0)),"")</f>
        <v>90</v>
      </c>
      <c r="E30" s="28" t="n">
        <f aca="false">IFERROR(INDEX(SCOPE!$H$4:$H$28,MATCH(8,SCOPE!$P$4:$P$28,0)),"")</f>
        <v>18</v>
      </c>
      <c r="F30" s="29" t="n">
        <f aca="false">IF(B30="","",D30*E30)</f>
        <v>1620</v>
      </c>
      <c r="G30" s="27" t="n">
        <f aca="false">IFERROR(INDEX(SCOPE!$J$4:$J$28,MATCH(8,SCOPE!$P$4:$P$28,0)),"")</f>
        <v>60</v>
      </c>
      <c r="H30" s="28" t="n">
        <f aca="false">IF(B30="","",E30)</f>
        <v>18</v>
      </c>
      <c r="I30" s="29" t="n">
        <f aca="false">IF(B30="","",G30*H30)</f>
        <v>1080</v>
      </c>
      <c r="J30" s="29" t="n">
        <f aca="false">IF(B30="","",F30-I30)</f>
        <v>540</v>
      </c>
      <c r="K30" s="30" t="n">
        <f aca="false">IF(OR(B30="",F30=0),"",J30/F30)</f>
        <v>0.333333333333333</v>
      </c>
    </row>
    <row r="31" customFormat="false" ht="15" hidden="false" customHeight="false" outlineLevel="0" collapsed="false">
      <c r="A31" s="2"/>
      <c r="B31" s="25" t="str">
        <f aca="false">IFERROR(INDEX(SCOPE!$B$4:$B$28,MATCH(9,SCOPE!$P$4:$P$28,0)),"")</f>
        <v>Programming: Audio Visual, Talent, Entertainment</v>
      </c>
      <c r="C31" s="26" t="str">
        <f aca="false">IFERROR(INDEX(SCOPE!$C$4:$C$28,MATCH(9,SCOPE!$P$4:$P$28,0)),"")</f>
        <v>Manager</v>
      </c>
      <c r="D31" s="27" t="n">
        <f aca="false">IFERROR(INDEX(SCOPE!$I$4:$I$28,MATCH(9,SCOPE!$P$4:$P$28,0)),"")</f>
        <v>90</v>
      </c>
      <c r="E31" s="28" t="n">
        <f aca="false">IFERROR(INDEX(SCOPE!$H$4:$H$28,MATCH(9,SCOPE!$P$4:$P$28,0)),"")</f>
        <v>25</v>
      </c>
      <c r="F31" s="29" t="n">
        <f aca="false">IF(B31="","",D31*E31)</f>
        <v>2250</v>
      </c>
      <c r="G31" s="27" t="n">
        <f aca="false">IFERROR(INDEX(SCOPE!$J$4:$J$28,MATCH(9,SCOPE!$P$4:$P$28,0)),"")</f>
        <v>60</v>
      </c>
      <c r="H31" s="28" t="n">
        <f aca="false">IF(B31="","",E31)</f>
        <v>25</v>
      </c>
      <c r="I31" s="29" t="n">
        <f aca="false">IF(B31="","",G31*H31)</f>
        <v>1500</v>
      </c>
      <c r="J31" s="29" t="n">
        <f aca="false">IF(B31="","",F31-I31)</f>
        <v>750</v>
      </c>
      <c r="K31" s="30" t="n">
        <f aca="false">IF(OR(B31="",F31=0),"",J31/F31)</f>
        <v>0.333333333333333</v>
      </c>
    </row>
    <row r="32" customFormat="false" ht="15" hidden="false" customHeight="false" outlineLevel="0" collapsed="false">
      <c r="A32" s="2"/>
      <c r="B32" s="25" t="str">
        <f aca="false">IFERROR(INDEX(SCOPE!$B$4:$B$28,MATCH(10,SCOPE!$P$4:$P$28,0)),"")</f>
        <v>Exhibit Management</v>
      </c>
      <c r="C32" s="26" t="str">
        <f aca="false">IFERROR(INDEX(SCOPE!$C$4:$C$28,MATCH(10,SCOPE!$P$4:$P$28,0)),"")</f>
        <v>Manager</v>
      </c>
      <c r="D32" s="27" t="n">
        <f aca="false">IFERROR(INDEX(SCOPE!$I$4:$I$28,MATCH(10,SCOPE!$P$4:$P$28,0)),"")</f>
        <v>90</v>
      </c>
      <c r="E32" s="28" t="n">
        <f aca="false">IFERROR(INDEX(SCOPE!$H$4:$H$28,MATCH(10,SCOPE!$P$4:$P$28,0)),"")</f>
        <v>60</v>
      </c>
      <c r="F32" s="29" t="n">
        <f aca="false">IF(B32="","",D32*E32)</f>
        <v>5400</v>
      </c>
      <c r="G32" s="27" t="n">
        <f aca="false">IFERROR(INDEX(SCOPE!$J$4:$J$28,MATCH(10,SCOPE!$P$4:$P$28,0)),"")</f>
        <v>60</v>
      </c>
      <c r="H32" s="28" t="n">
        <f aca="false">IF(B32="","",E32)</f>
        <v>60</v>
      </c>
      <c r="I32" s="29" t="n">
        <f aca="false">IF(B32="","",G32*H32)</f>
        <v>3600</v>
      </c>
      <c r="J32" s="29" t="n">
        <f aca="false">IF(B32="","",F32-I32)</f>
        <v>1800</v>
      </c>
      <c r="K32" s="30" t="n">
        <f aca="false">IF(OR(B32="",F32=0),"",J32/F32)</f>
        <v>0.333333333333333</v>
      </c>
    </row>
    <row r="33" customFormat="false" ht="15" hidden="false" customHeight="false" outlineLevel="0" collapsed="false">
      <c r="A33" s="2"/>
      <c r="B33" s="25" t="str">
        <f aca="false">IFERROR(INDEX(SCOPE!$B$4:$B$28,MATCH(11,SCOPE!$P$4:$P$28,0)),"")</f>
        <v>Sponsorships: Opportunities &amp; Sponsor Management</v>
      </c>
      <c r="C33" s="26" t="str">
        <f aca="false">IFERROR(INDEX(SCOPE!$C$4:$C$28,MATCH(11,SCOPE!$P$4:$P$28,0)),"")</f>
        <v>Coordinator</v>
      </c>
      <c r="D33" s="27" t="n">
        <f aca="false">IFERROR(INDEX(SCOPE!$I$4:$I$28,MATCH(11,SCOPE!$P$4:$P$28,0)),"")</f>
        <v>65</v>
      </c>
      <c r="E33" s="28" t="n">
        <f aca="false">IFERROR(INDEX(SCOPE!$H$4:$H$28,MATCH(11,SCOPE!$P$4:$P$28,0)),"")</f>
        <v>30</v>
      </c>
      <c r="F33" s="29" t="n">
        <f aca="false">IF(B33="","",D33*E33)</f>
        <v>1950</v>
      </c>
      <c r="G33" s="27" t="n">
        <f aca="false">IFERROR(INDEX(SCOPE!$J$4:$J$28,MATCH(11,SCOPE!$P$4:$P$28,0)),"")</f>
        <v>42</v>
      </c>
      <c r="H33" s="28" t="n">
        <f aca="false">IF(B33="","",E33)</f>
        <v>30</v>
      </c>
      <c r="I33" s="29" t="n">
        <f aca="false">IF(B33="","",G33*H33)</f>
        <v>1260</v>
      </c>
      <c r="J33" s="29" t="n">
        <f aca="false">IF(B33="","",F33-I33)</f>
        <v>690</v>
      </c>
      <c r="K33" s="30" t="n">
        <f aca="false">IF(OR(B33="",F33=0),"",J33/F33)</f>
        <v>0.353846153846154</v>
      </c>
    </row>
    <row r="34" customFormat="false" ht="15" hidden="false" customHeight="false" outlineLevel="0" collapsed="false">
      <c r="A34" s="2"/>
      <c r="B34" s="25" t="str">
        <f aca="false">IFERROR(INDEX(SCOPE!$B$4:$B$28,MATCH(12,SCOPE!$P$4:$P$28,0)),"")</f>
        <v>Third Party Vendors</v>
      </c>
      <c r="C34" s="26" t="str">
        <f aca="false">IFERROR(INDEX(SCOPE!$C$4:$C$28,MATCH(12,SCOPE!$P$4:$P$28,0)),"")</f>
        <v>Coordinator</v>
      </c>
      <c r="D34" s="27" t="n">
        <f aca="false">IFERROR(INDEX(SCOPE!$I$4:$I$28,MATCH(12,SCOPE!$P$4:$P$28,0)),"")</f>
        <v>65</v>
      </c>
      <c r="E34" s="28" t="n">
        <f aca="false">IFERROR(INDEX(SCOPE!$H$4:$H$28,MATCH(12,SCOPE!$P$4:$P$28,0)),"")</f>
        <v>30</v>
      </c>
      <c r="F34" s="29" t="n">
        <f aca="false">IF(B34="","",D34*E34)</f>
        <v>1950</v>
      </c>
      <c r="G34" s="27" t="n">
        <f aca="false">IFERROR(INDEX(SCOPE!$J$4:$J$28,MATCH(12,SCOPE!$P$4:$P$28,0)),"")</f>
        <v>42</v>
      </c>
      <c r="H34" s="28" t="n">
        <f aca="false">IF(B34="","",E34)</f>
        <v>30</v>
      </c>
      <c r="I34" s="29" t="n">
        <f aca="false">IF(B34="","",G34*H34)</f>
        <v>1260</v>
      </c>
      <c r="J34" s="29" t="n">
        <f aca="false">IF(B34="","",F34-I34)</f>
        <v>690</v>
      </c>
      <c r="K34" s="30" t="n">
        <f aca="false">IF(OR(B34="",F34=0),"",J34/F34)</f>
        <v>0.353846153846154</v>
      </c>
    </row>
    <row r="35" customFormat="false" ht="15" hidden="false" customHeight="false" outlineLevel="0" collapsed="false">
      <c r="A35" s="2"/>
      <c r="B35" s="25" t="str">
        <f aca="false">IFERROR(INDEX(SCOPE!$B$4:$B$28,MATCH(13,SCOPE!$P$4:$P$28,0)),"")</f>
        <v>Financial Management</v>
      </c>
      <c r="C35" s="26" t="str">
        <f aca="false">IFERROR(INDEX(SCOPE!$C$4:$C$28,MATCH(13,SCOPE!$P$4:$P$28,0)),"")</f>
        <v>Manager</v>
      </c>
      <c r="D35" s="27" t="n">
        <f aca="false">IFERROR(INDEX(SCOPE!$I$4:$I$28,MATCH(13,SCOPE!$P$4:$P$28,0)),"")</f>
        <v>90</v>
      </c>
      <c r="E35" s="28" t="n">
        <f aca="false">IFERROR(INDEX(SCOPE!$H$4:$H$28,MATCH(13,SCOPE!$P$4:$P$28,0)),"")</f>
        <v>18</v>
      </c>
      <c r="F35" s="29" t="n">
        <f aca="false">IF(B35="","",D35*E35)</f>
        <v>1620</v>
      </c>
      <c r="G35" s="27" t="n">
        <f aca="false">IFERROR(INDEX(SCOPE!$J$4:$J$28,MATCH(13,SCOPE!$P$4:$P$28,0)),"")</f>
        <v>60</v>
      </c>
      <c r="H35" s="28" t="n">
        <f aca="false">IF(B35="","",E35)</f>
        <v>18</v>
      </c>
      <c r="I35" s="29" t="n">
        <f aca="false">IF(B35="","",G35*H35)</f>
        <v>1080</v>
      </c>
      <c r="J35" s="29" t="n">
        <f aca="false">IF(B35="","",F35-I35)</f>
        <v>540</v>
      </c>
      <c r="K35" s="30" t="n">
        <f aca="false">IF(OR(B35="",F35=0),"",J35/F35)</f>
        <v>0.333333333333333</v>
      </c>
    </row>
    <row r="36" customFormat="false" ht="15" hidden="false" customHeight="false" outlineLevel="0" collapsed="false">
      <c r="A36" s="2"/>
      <c r="B36" s="25" t="str">
        <f aca="false">IFERROR(INDEX(SCOPE!$B$4:$B$28,MATCH(14,SCOPE!$P$4:$P$28,0)),"")</f>
        <v>Staff Management: Temporary Staff &amp; Volunteers</v>
      </c>
      <c r="C36" s="26" t="str">
        <f aca="false">IFERROR(INDEX(SCOPE!$C$4:$C$28,MATCH(14,SCOPE!$P$4:$P$28,0)),"")</f>
        <v>Manager</v>
      </c>
      <c r="D36" s="27" t="n">
        <f aca="false">IFERROR(INDEX(SCOPE!$I$4:$I$28,MATCH(14,SCOPE!$P$4:$P$28,0)),"")</f>
        <v>90</v>
      </c>
      <c r="E36" s="28" t="n">
        <f aca="false">IFERROR(INDEX(SCOPE!$H$4:$H$28,MATCH(14,SCOPE!$P$4:$P$28,0)),"")</f>
        <v>13</v>
      </c>
      <c r="F36" s="29" t="n">
        <f aca="false">IF(B36="","",D36*E36)</f>
        <v>1170</v>
      </c>
      <c r="G36" s="27" t="n">
        <f aca="false">IFERROR(INDEX(SCOPE!$J$4:$J$28,MATCH(14,SCOPE!$P$4:$P$28,0)),"")</f>
        <v>60</v>
      </c>
      <c r="H36" s="28" t="n">
        <f aca="false">IF(B36="","",E36)</f>
        <v>13</v>
      </c>
      <c r="I36" s="29" t="n">
        <f aca="false">IF(B36="","",G36*H36)</f>
        <v>780</v>
      </c>
      <c r="J36" s="29" t="n">
        <f aca="false">IF(B36="","",F36-I36)</f>
        <v>390</v>
      </c>
      <c r="K36" s="30" t="n">
        <f aca="false">IF(OR(B36="",F36=0),"",J36/F36)</f>
        <v>0.333333333333333</v>
      </c>
    </row>
    <row r="37" customFormat="false" ht="15" hidden="false" customHeight="false" outlineLevel="0" collapsed="false">
      <c r="A37" s="2"/>
      <c r="B37" s="25" t="str">
        <f aca="false">IFERROR(INDEX(SCOPE!$B$4:$B$28,MATCH(15,SCOPE!$P$4:$P$28,0)),"")</f>
        <v>Post-Event: Reporting, Reconciliation, Debrief</v>
      </c>
      <c r="C37" s="26" t="str">
        <f aca="false">IFERROR(INDEX(SCOPE!$C$4:$C$28,MATCH(15,SCOPE!$P$4:$P$28,0)),"")</f>
        <v>Manager</v>
      </c>
      <c r="D37" s="27" t="n">
        <f aca="false">IFERROR(INDEX(SCOPE!$I$4:$I$28,MATCH(15,SCOPE!$P$4:$P$28,0)),"")</f>
        <v>90</v>
      </c>
      <c r="E37" s="28" t="n">
        <f aca="false">IFERROR(INDEX(SCOPE!$H$4:$H$28,MATCH(15,SCOPE!$P$4:$P$28,0)),"")</f>
        <v>16</v>
      </c>
      <c r="F37" s="29" t="n">
        <f aca="false">IF(B37="","",D37*E37)</f>
        <v>1440</v>
      </c>
      <c r="G37" s="27" t="n">
        <f aca="false">IFERROR(INDEX(SCOPE!$J$4:$J$28,MATCH(15,SCOPE!$P$4:$P$28,0)),"")</f>
        <v>60</v>
      </c>
      <c r="H37" s="28" t="n">
        <f aca="false">IF(B37="","",E37)</f>
        <v>16</v>
      </c>
      <c r="I37" s="29" t="n">
        <f aca="false">IF(B37="","",G37*H37)</f>
        <v>960</v>
      </c>
      <c r="J37" s="29" t="n">
        <f aca="false">IF(B37="","",F37-I37)</f>
        <v>480</v>
      </c>
      <c r="K37" s="30" t="n">
        <f aca="false">IF(OR(B37="",F37=0),"",J37/F37)</f>
        <v>0.333333333333333</v>
      </c>
    </row>
    <row r="38" customFormat="false" ht="15" hidden="false" customHeight="false" outlineLevel="0" collapsed="false">
      <c r="A38" s="2"/>
      <c r="B38" s="25" t="str">
        <f aca="false">IFERROR(INDEX(SCOPE!$B$4:$B$28,MATCH(16,SCOPE!$P$4:$P$28,0)),"")</f>
        <v/>
      </c>
      <c r="C38" s="26" t="str">
        <f aca="false">IFERROR(INDEX(SCOPE!$C$4:$C$28,MATCH(16,SCOPE!$P$4:$P$28,0)),"")</f>
        <v/>
      </c>
      <c r="D38" s="27" t="str">
        <f aca="false">IFERROR(INDEX(SCOPE!$I$4:$I$28,MATCH(16,SCOPE!$P$4:$P$28,0)),"")</f>
        <v/>
      </c>
      <c r="E38" s="28" t="str">
        <f aca="false">IFERROR(INDEX(SCOPE!$H$4:$H$28,MATCH(16,SCOPE!$P$4:$P$28,0)),"")</f>
        <v/>
      </c>
      <c r="F38" s="29" t="str">
        <f aca="false">IF(B38="","",D38*E38)</f>
        <v/>
      </c>
      <c r="G38" s="27" t="str">
        <f aca="false">IFERROR(INDEX(SCOPE!$J$4:$J$28,MATCH(16,SCOPE!$P$4:$P$28,0)),"")</f>
        <v/>
      </c>
      <c r="H38" s="28" t="str">
        <f aca="false">IF(B38="","",E38)</f>
        <v/>
      </c>
      <c r="I38" s="29" t="str">
        <f aca="false">IF(B38="","",G38*H38)</f>
        <v/>
      </c>
      <c r="J38" s="29" t="str">
        <f aca="false">IF(B38="","",F38-I38)</f>
        <v/>
      </c>
      <c r="K38" s="30" t="str">
        <f aca="false">IF(OR(B38="",F38=0),"",J38/F38)</f>
        <v/>
      </c>
    </row>
    <row r="39" customFormat="false" ht="15" hidden="false" customHeight="false" outlineLevel="0" collapsed="false">
      <c r="A39" s="2"/>
      <c r="B39" s="25" t="str">
        <f aca="false">IFERROR(INDEX(SCOPE!$B$4:$B$28,MATCH(17,SCOPE!$P$4:$P$28,0)),"")</f>
        <v/>
      </c>
      <c r="C39" s="26" t="str">
        <f aca="false">IFERROR(INDEX(SCOPE!$C$4:$C$28,MATCH(17,SCOPE!$P$4:$P$28,0)),"")</f>
        <v/>
      </c>
      <c r="D39" s="27" t="str">
        <f aca="false">IFERROR(INDEX(SCOPE!$I$4:$I$28,MATCH(17,SCOPE!$P$4:$P$28,0)),"")</f>
        <v/>
      </c>
      <c r="E39" s="28" t="str">
        <f aca="false">IFERROR(INDEX(SCOPE!$H$4:$H$28,MATCH(17,SCOPE!$P$4:$P$28,0)),"")</f>
        <v/>
      </c>
      <c r="F39" s="29" t="str">
        <f aca="false">IF(B39="","",D39*E39)</f>
        <v/>
      </c>
      <c r="G39" s="27" t="str">
        <f aca="false">IFERROR(INDEX(SCOPE!$J$4:$J$28,MATCH(17,SCOPE!$P$4:$P$28,0)),"")</f>
        <v/>
      </c>
      <c r="H39" s="28" t="str">
        <f aca="false">IF(B39="","",E39)</f>
        <v/>
      </c>
      <c r="I39" s="29" t="str">
        <f aca="false">IF(B39="","",G39*H39)</f>
        <v/>
      </c>
      <c r="J39" s="29" t="str">
        <f aca="false">IF(B39="","",F39-I39)</f>
        <v/>
      </c>
      <c r="K39" s="30" t="str">
        <f aca="false">IF(OR(B39="",F39=0),"",J39/F39)</f>
        <v/>
      </c>
    </row>
    <row r="40" customFormat="false" ht="15" hidden="false" customHeight="false" outlineLevel="0" collapsed="false">
      <c r="A40" s="2"/>
      <c r="B40" s="25" t="str">
        <f aca="false">IFERROR(INDEX(SCOPE!$B$4:$B$28,MATCH(18,SCOPE!$P$4:$P$28,0)),"")</f>
        <v/>
      </c>
      <c r="C40" s="26" t="str">
        <f aca="false">IFERROR(INDEX(SCOPE!$C$4:$C$28,MATCH(18,SCOPE!$P$4:$P$28,0)),"")</f>
        <v/>
      </c>
      <c r="D40" s="27" t="str">
        <f aca="false">IFERROR(INDEX(SCOPE!$I$4:$I$28,MATCH(18,SCOPE!$P$4:$P$28,0)),"")</f>
        <v/>
      </c>
      <c r="E40" s="28" t="str">
        <f aca="false">IFERROR(INDEX(SCOPE!$H$4:$H$28,MATCH(18,SCOPE!$P$4:$P$28,0)),"")</f>
        <v/>
      </c>
      <c r="F40" s="29" t="str">
        <f aca="false">IF(B40="","",D40*E40)</f>
        <v/>
      </c>
      <c r="G40" s="27" t="str">
        <f aca="false">IFERROR(INDEX(SCOPE!$J$4:$J$28,MATCH(18,SCOPE!$P$4:$P$28,0)),"")</f>
        <v/>
      </c>
      <c r="H40" s="28" t="str">
        <f aca="false">IF(B40="","",E40)</f>
        <v/>
      </c>
      <c r="I40" s="29" t="str">
        <f aca="false">IF(B40="","",G40*H40)</f>
        <v/>
      </c>
      <c r="J40" s="29" t="str">
        <f aca="false">IF(B40="","",F40-I40)</f>
        <v/>
      </c>
      <c r="K40" s="30" t="str">
        <f aca="false">IF(OR(B40="",F40=0),"",J40/F40)</f>
        <v/>
      </c>
    </row>
    <row r="41" customFormat="false" ht="15" hidden="false" customHeight="false" outlineLevel="0" collapsed="false">
      <c r="A41" s="2"/>
      <c r="B41" s="25" t="str">
        <f aca="false">IFERROR(INDEX(SCOPE!$B$4:$B$28,MATCH(19,SCOPE!$P$4:$P$28,0)),"")</f>
        <v/>
      </c>
      <c r="C41" s="26" t="str">
        <f aca="false">IFERROR(INDEX(SCOPE!$C$4:$C$28,MATCH(19,SCOPE!$P$4:$P$28,0)),"")</f>
        <v/>
      </c>
      <c r="D41" s="27" t="str">
        <f aca="false">IFERROR(INDEX(SCOPE!$I$4:$I$28,MATCH(19,SCOPE!$P$4:$P$28,0)),"")</f>
        <v/>
      </c>
      <c r="E41" s="28" t="str">
        <f aca="false">IFERROR(INDEX(SCOPE!$H$4:$H$28,MATCH(19,SCOPE!$P$4:$P$28,0)),"")</f>
        <v/>
      </c>
      <c r="F41" s="29" t="str">
        <f aca="false">IF(B41="","",D41*E41)</f>
        <v/>
      </c>
      <c r="G41" s="27" t="str">
        <f aca="false">IFERROR(INDEX(SCOPE!$J$4:$J$28,MATCH(19,SCOPE!$P$4:$P$28,0)),"")</f>
        <v/>
      </c>
      <c r="H41" s="28" t="str">
        <f aca="false">IF(B41="","",E41)</f>
        <v/>
      </c>
      <c r="I41" s="29" t="str">
        <f aca="false">IF(B41="","",G41*H41)</f>
        <v/>
      </c>
      <c r="J41" s="29" t="str">
        <f aca="false">IF(B41="","",F41-I41)</f>
        <v/>
      </c>
      <c r="K41" s="30" t="str">
        <f aca="false">IF(OR(B41="",F41=0),"",J41/F41)</f>
        <v/>
      </c>
    </row>
    <row r="42" customFormat="false" ht="15" hidden="false" customHeight="false" outlineLevel="0" collapsed="false">
      <c r="A42" s="2"/>
      <c r="B42" s="25" t="str">
        <f aca="false">IFERROR(INDEX(SCOPE!$B$4:$B$28,MATCH(20,SCOPE!$P$4:$P$28,0)),"")</f>
        <v/>
      </c>
      <c r="C42" s="26" t="str">
        <f aca="false">IFERROR(INDEX(SCOPE!$C$4:$C$28,MATCH(20,SCOPE!$P$4:$P$28,0)),"")</f>
        <v/>
      </c>
      <c r="D42" s="27" t="str">
        <f aca="false">IFERROR(INDEX(SCOPE!$I$4:$I$28,MATCH(20,SCOPE!$P$4:$P$28,0)),"")</f>
        <v/>
      </c>
      <c r="E42" s="28" t="str">
        <f aca="false">IFERROR(INDEX(SCOPE!$H$4:$H$28,MATCH(20,SCOPE!$P$4:$P$28,0)),"")</f>
        <v/>
      </c>
      <c r="F42" s="29" t="str">
        <f aca="false">IF(B42="","",D42*E42)</f>
        <v/>
      </c>
      <c r="G42" s="27" t="str">
        <f aca="false">IFERROR(INDEX(SCOPE!$J$4:$J$28,MATCH(20,SCOPE!$P$4:$P$28,0)),"")</f>
        <v/>
      </c>
      <c r="H42" s="28" t="str">
        <f aca="false">IF(B42="","",E42)</f>
        <v/>
      </c>
      <c r="I42" s="29" t="str">
        <f aca="false">IF(B42="","",G42*H42)</f>
        <v/>
      </c>
      <c r="J42" s="29" t="str">
        <f aca="false">IF(B42="","",F42-I42)</f>
        <v/>
      </c>
      <c r="K42" s="30" t="str">
        <f aca="false">IF(OR(B42="",F42=0),"",J42/F42)</f>
        <v/>
      </c>
    </row>
    <row r="43" customFormat="false" ht="15" hidden="false" customHeight="false" outlineLevel="0" collapsed="false">
      <c r="A43" s="2"/>
      <c r="B43" s="25" t="str">
        <f aca="false">IFERROR(INDEX(SCOPE!$B$4:$B$28,MATCH(21,SCOPE!$P$4:$P$28,0)),"")</f>
        <v/>
      </c>
      <c r="C43" s="26" t="str">
        <f aca="false">IFERROR(INDEX(SCOPE!$C$4:$C$28,MATCH(21,SCOPE!$P$4:$P$28,0)),"")</f>
        <v/>
      </c>
      <c r="D43" s="27" t="str">
        <f aca="false">IFERROR(INDEX(SCOPE!$I$4:$I$28,MATCH(21,SCOPE!$P$4:$P$28,0)),"")</f>
        <v/>
      </c>
      <c r="E43" s="28" t="str">
        <f aca="false">IFERROR(INDEX(SCOPE!$H$4:$H$28,MATCH(21,SCOPE!$P$4:$P$28,0)),"")</f>
        <v/>
      </c>
      <c r="F43" s="29" t="str">
        <f aca="false">IF(B43="","",D43*E43)</f>
        <v/>
      </c>
      <c r="G43" s="27" t="str">
        <f aca="false">IFERROR(INDEX(SCOPE!$J$4:$J$28,MATCH(21,SCOPE!$P$4:$P$28,0)),"")</f>
        <v/>
      </c>
      <c r="H43" s="28" t="str">
        <f aca="false">IF(B43="","",E43)</f>
        <v/>
      </c>
      <c r="I43" s="29" t="str">
        <f aca="false">IF(B43="","",G43*H43)</f>
        <v/>
      </c>
      <c r="J43" s="29" t="str">
        <f aca="false">IF(B43="","",F43-I43)</f>
        <v/>
      </c>
      <c r="K43" s="30" t="str">
        <f aca="false">IF(OR(B43="",F43=0),"",J43/F43)</f>
        <v/>
      </c>
    </row>
    <row r="44" customFormat="false" ht="15" hidden="false" customHeight="false" outlineLevel="0" collapsed="false">
      <c r="A44" s="2"/>
      <c r="B44" s="25" t="str">
        <f aca="false">IFERROR(INDEX(SCOPE!$B$4:$B$28,MATCH(22,SCOPE!$P$4:$P$28,0)),"")</f>
        <v/>
      </c>
      <c r="C44" s="26" t="str">
        <f aca="false">IFERROR(INDEX(SCOPE!$C$4:$C$28,MATCH(22,SCOPE!$P$4:$P$28,0)),"")</f>
        <v/>
      </c>
      <c r="D44" s="27" t="str">
        <f aca="false">IFERROR(INDEX(SCOPE!$I$4:$I$28,MATCH(22,SCOPE!$P$4:$P$28,0)),"")</f>
        <v/>
      </c>
      <c r="E44" s="28" t="str">
        <f aca="false">IFERROR(INDEX(SCOPE!$H$4:$H$28,MATCH(22,SCOPE!$P$4:$P$28,0)),"")</f>
        <v/>
      </c>
      <c r="F44" s="29" t="str">
        <f aca="false">IF(B44="","",D44*E44)</f>
        <v/>
      </c>
      <c r="G44" s="27" t="str">
        <f aca="false">IFERROR(INDEX(SCOPE!$J$4:$J$28,MATCH(22,SCOPE!$P$4:$P$28,0)),"")</f>
        <v/>
      </c>
      <c r="H44" s="28" t="str">
        <f aca="false">IF(B44="","",E44)</f>
        <v/>
      </c>
      <c r="I44" s="29" t="str">
        <f aca="false">IF(B44="","",G44*H44)</f>
        <v/>
      </c>
      <c r="J44" s="29" t="str">
        <f aca="false">IF(B44="","",F44-I44)</f>
        <v/>
      </c>
      <c r="K44" s="30" t="str">
        <f aca="false">IF(OR(B44="",F44=0),"",J44/F44)</f>
        <v/>
      </c>
    </row>
    <row r="45" customFormat="false" ht="15" hidden="false" customHeight="false" outlineLevel="0" collapsed="false">
      <c r="A45" s="2"/>
      <c r="B45" s="25" t="str">
        <f aca="false">IFERROR(INDEX(SCOPE!$B$4:$B$28,MATCH(23,SCOPE!$P$4:$P$28,0)),"")</f>
        <v/>
      </c>
      <c r="C45" s="26" t="str">
        <f aca="false">IFERROR(INDEX(SCOPE!$C$4:$C$28,MATCH(23,SCOPE!$P$4:$P$28,0)),"")</f>
        <v/>
      </c>
      <c r="D45" s="27" t="str">
        <f aca="false">IFERROR(INDEX(SCOPE!$I$4:$I$28,MATCH(23,SCOPE!$P$4:$P$28,0)),"")</f>
        <v/>
      </c>
      <c r="E45" s="28" t="str">
        <f aca="false">IFERROR(INDEX(SCOPE!$H$4:$H$28,MATCH(23,SCOPE!$P$4:$P$28,0)),"")</f>
        <v/>
      </c>
      <c r="F45" s="29" t="str">
        <f aca="false">IF(B45="","",D45*E45)</f>
        <v/>
      </c>
      <c r="G45" s="27" t="str">
        <f aca="false">IFERROR(INDEX(SCOPE!$J$4:$J$28,MATCH(23,SCOPE!$P$4:$P$28,0)),"")</f>
        <v/>
      </c>
      <c r="H45" s="28" t="str">
        <f aca="false">IF(B45="","",E45)</f>
        <v/>
      </c>
      <c r="I45" s="29" t="str">
        <f aca="false">IF(B45="","",G45*H45)</f>
        <v/>
      </c>
      <c r="J45" s="29" t="str">
        <f aca="false">IF(B45="","",F45-I45)</f>
        <v/>
      </c>
      <c r="K45" s="30" t="str">
        <f aca="false">IF(OR(B45="",F45=0),"",J45/F45)</f>
        <v/>
      </c>
    </row>
    <row r="46" customFormat="false" ht="15" hidden="false" customHeight="false" outlineLevel="0" collapsed="false">
      <c r="A46" s="2"/>
      <c r="B46" s="25" t="str">
        <f aca="false">IFERROR(INDEX(SCOPE!$B$4:$B$28,MATCH(24,SCOPE!$P$4:$P$28,0)),"")</f>
        <v/>
      </c>
      <c r="C46" s="26" t="str">
        <f aca="false">IFERROR(INDEX(SCOPE!$C$4:$C$28,MATCH(24,SCOPE!$P$4:$P$28,0)),"")</f>
        <v/>
      </c>
      <c r="D46" s="27" t="str">
        <f aca="false">IFERROR(INDEX(SCOPE!$I$4:$I$28,MATCH(24,SCOPE!$P$4:$P$28,0)),"")</f>
        <v/>
      </c>
      <c r="E46" s="28" t="str">
        <f aca="false">IFERROR(INDEX(SCOPE!$H$4:$H$28,MATCH(24,SCOPE!$P$4:$P$28,0)),"")</f>
        <v/>
      </c>
      <c r="F46" s="29" t="str">
        <f aca="false">IF(B46="","",D46*E46)</f>
        <v/>
      </c>
      <c r="G46" s="27" t="str">
        <f aca="false">IFERROR(INDEX(SCOPE!$J$4:$J$28,MATCH(24,SCOPE!$P$4:$P$28,0)),"")</f>
        <v/>
      </c>
      <c r="H46" s="28" t="str">
        <f aca="false">IF(B46="","",E46)</f>
        <v/>
      </c>
      <c r="I46" s="29" t="str">
        <f aca="false">IF(B46="","",G46*H46)</f>
        <v/>
      </c>
      <c r="J46" s="29" t="str">
        <f aca="false">IF(B46="","",F46-I46)</f>
        <v/>
      </c>
      <c r="K46" s="30" t="str">
        <f aca="false">IF(OR(B46="",F46=0),"",J46/F46)</f>
        <v/>
      </c>
    </row>
    <row r="47" customFormat="false" ht="15" hidden="false" customHeight="false" outlineLevel="0" collapsed="false">
      <c r="A47" s="2"/>
      <c r="B47" s="25" t="str">
        <f aca="false">IFERROR(INDEX(SCOPE!$B$4:$B$28,MATCH(25,SCOPE!$P$4:$P$28,0)),"")</f>
        <v/>
      </c>
      <c r="C47" s="26" t="str">
        <f aca="false">IFERROR(INDEX(SCOPE!$C$4:$C$28,MATCH(25,SCOPE!$P$4:$P$28,0)),"")</f>
        <v/>
      </c>
      <c r="D47" s="27" t="str">
        <f aca="false">IFERROR(INDEX(SCOPE!$I$4:$I$28,MATCH(25,SCOPE!$P$4:$P$28,0)),"")</f>
        <v/>
      </c>
      <c r="E47" s="28" t="str">
        <f aca="false">IFERROR(INDEX(SCOPE!$H$4:$H$28,MATCH(25,SCOPE!$P$4:$P$28,0)),"")</f>
        <v/>
      </c>
      <c r="F47" s="29" t="str">
        <f aca="false">IF(B47="","",D47*E47)</f>
        <v/>
      </c>
      <c r="G47" s="27" t="str">
        <f aca="false">IFERROR(INDEX(SCOPE!$J$4:$J$28,MATCH(25,SCOPE!$P$4:$P$28,0)),"")</f>
        <v/>
      </c>
      <c r="H47" s="28" t="str">
        <f aca="false">IF(B47="","",E47)</f>
        <v/>
      </c>
      <c r="I47" s="29" t="str">
        <f aca="false">IF(B47="","",G47*H47)</f>
        <v/>
      </c>
      <c r="J47" s="29" t="str">
        <f aca="false">IF(B47="","",F47-I47)</f>
        <v/>
      </c>
      <c r="K47" s="30" t="str">
        <f aca="false">IF(OR(B47="",F47=0),"",J47/F47)</f>
        <v/>
      </c>
    </row>
    <row r="48" customFormat="false" ht="15" hidden="false" customHeight="false" outlineLevel="0" collapsed="false">
      <c r="A48" s="2"/>
      <c r="B48" s="31" t="s">
        <v>25</v>
      </c>
      <c r="C48" s="32"/>
      <c r="D48" s="33"/>
      <c r="E48" s="34" t="n">
        <f aca="false">SUM(E23:E47)</f>
        <v>423</v>
      </c>
      <c r="F48" s="35" t="n">
        <f aca="false">SUM(F23:F47)</f>
        <v>37380</v>
      </c>
      <c r="G48" s="33"/>
      <c r="H48" s="34" t="n">
        <f aca="false">SUM(H23:H47)</f>
        <v>423</v>
      </c>
      <c r="I48" s="35" t="n">
        <f aca="false">SUM(I23:I47)</f>
        <v>24696</v>
      </c>
      <c r="J48" s="35" t="n">
        <f aca="false">SUM(J23:J47)</f>
        <v>12684</v>
      </c>
      <c r="K48" s="36" t="n">
        <f aca="false">IF(F48=0,"",J48/F48)</f>
        <v>0.339325842696629</v>
      </c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customFormat="false" ht="15" hidden="false" customHeight="false" outlineLevel="0" collapsed="false">
      <c r="A50" s="2"/>
      <c r="B50" s="5" t="s">
        <v>26</v>
      </c>
      <c r="C50" s="5"/>
      <c r="D50" s="5"/>
      <c r="E50" s="5"/>
      <c r="F50" s="5"/>
      <c r="G50" s="5"/>
      <c r="H50" s="5"/>
      <c r="I50" s="5"/>
      <c r="J50" s="5"/>
      <c r="K50" s="5"/>
    </row>
    <row r="51" customFormat="false" ht="27.75" hidden="false" customHeight="true" outlineLevel="0" collapsed="false">
      <c r="A51" s="2"/>
      <c r="B51" s="6" t="s">
        <v>21</v>
      </c>
      <c r="C51" s="6" t="s">
        <v>22</v>
      </c>
      <c r="D51" s="6" t="s">
        <v>23</v>
      </c>
      <c r="E51" s="6" t="s">
        <v>11</v>
      </c>
      <c r="F51" s="6" t="s">
        <v>3</v>
      </c>
      <c r="G51" s="6" t="s">
        <v>24</v>
      </c>
      <c r="H51" s="6" t="s">
        <v>11</v>
      </c>
      <c r="I51" s="6" t="s">
        <v>4</v>
      </c>
      <c r="J51" s="6" t="s">
        <v>5</v>
      </c>
      <c r="K51" s="6" t="s">
        <v>6</v>
      </c>
    </row>
    <row r="52" customFormat="false" ht="15" hidden="false" customHeight="false" outlineLevel="0" collapsed="false">
      <c r="A52" s="2"/>
      <c r="B52" s="25" t="str">
        <f aca="false">IF(1&lt;=INPUTS!$B$23,INPUTS!$B$51,"")</f>
        <v>Project Manager</v>
      </c>
      <c r="C52" s="26" t="str">
        <f aca="false">IF(1&lt;=INPUTS!$B$23,"Manager","")</f>
        <v>Manager</v>
      </c>
      <c r="D52" s="27" t="n">
        <f aca="false">IF(1&lt;=INPUTS!$B$23,INPUTS!$B$33,"")</f>
        <v>100</v>
      </c>
      <c r="E52" s="28" t="n">
        <f aca="false">IF(1&lt;=INPUTS!$B$23,(INPUTS!$B$15+INPUTS!$B$16)*INPUTS!$B$38+INPUTS!$B$17*INPUTS!$B$41,"")</f>
        <v>48</v>
      </c>
      <c r="F52" s="29" t="n">
        <f aca="false">IF(B52="","",D52*E52)</f>
        <v>4800</v>
      </c>
      <c r="G52" s="27" t="n">
        <f aca="false">IF(1&lt;=INPUTS!$B$23,INPUTS!$B$29,"")</f>
        <v>60</v>
      </c>
      <c r="H52" s="28" t="n">
        <f aca="false">IF(B52="","",E52)</f>
        <v>48</v>
      </c>
      <c r="I52" s="29" t="n">
        <f aca="false">IF(B52="","",G52*H52)</f>
        <v>2880</v>
      </c>
      <c r="J52" s="29" t="n">
        <f aca="false">IF(B52="","",F52-I52)</f>
        <v>1920</v>
      </c>
      <c r="K52" s="30" t="n">
        <f aca="false">IF(OR(B52="",F52=0),"",J52/F52)</f>
        <v>0.4</v>
      </c>
    </row>
    <row r="53" customFormat="false" ht="15" hidden="false" customHeight="false" outlineLevel="0" collapsed="false">
      <c r="A53" s="2"/>
      <c r="B53" s="25" t="str">
        <f aca="false">IF(2&lt;=INPUTS!$B$23,INPUTS!$B$52,"")</f>
        <v>Event Manager</v>
      </c>
      <c r="C53" s="26" t="str">
        <f aca="false">IF(2&lt;=INPUTS!$B$23,"Manager","")</f>
        <v>Manager</v>
      </c>
      <c r="D53" s="27" t="n">
        <f aca="false">IF(2&lt;=INPUTS!$B$23,INPUTS!$B$33,"")</f>
        <v>100</v>
      </c>
      <c r="E53" s="28" t="n">
        <f aca="false">IF(2&lt;=INPUTS!$B$23,(INPUTS!$B$15+INPUTS!$B$16)*INPUTS!$B$38+INPUTS!$B$17*INPUTS!$B$41,"")</f>
        <v>48</v>
      </c>
      <c r="F53" s="29" t="n">
        <f aca="false">IF(B53="","",D53*E53)</f>
        <v>4800</v>
      </c>
      <c r="G53" s="27" t="n">
        <f aca="false">IF(2&lt;=INPUTS!$B$23,INPUTS!$B$29,"")</f>
        <v>60</v>
      </c>
      <c r="H53" s="28" t="n">
        <f aca="false">IF(B53="","",E53)</f>
        <v>48</v>
      </c>
      <c r="I53" s="29" t="n">
        <f aca="false">IF(B53="","",G53*H53)</f>
        <v>2880</v>
      </c>
      <c r="J53" s="29" t="n">
        <f aca="false">IF(B53="","",F53-I53)</f>
        <v>1920</v>
      </c>
      <c r="K53" s="30" t="n">
        <f aca="false">IF(OR(B53="",F53=0),"",J53/F53)</f>
        <v>0.4</v>
      </c>
    </row>
    <row r="54" customFormat="false" ht="15" hidden="false" customHeight="false" outlineLevel="0" collapsed="false">
      <c r="A54" s="2"/>
      <c r="B54" s="25" t="str">
        <f aca="false">IF(3&lt;=INPUTS!$B$23,INPUTS!$B$53,"")</f>
        <v>Executive Producer</v>
      </c>
      <c r="C54" s="26" t="str">
        <f aca="false">IF(3&lt;=INPUTS!$B$23,"Manager","")</f>
        <v>Manager</v>
      </c>
      <c r="D54" s="27" t="n">
        <f aca="false">IF(3&lt;=INPUTS!$B$23,INPUTS!$B$33,"")</f>
        <v>100</v>
      </c>
      <c r="E54" s="28" t="n">
        <f aca="false">IF(3&lt;=INPUTS!$B$23,(INPUTS!$B$15+INPUTS!$B$16)*INPUTS!$B$38+INPUTS!$B$17*INPUTS!$B$41,"")</f>
        <v>48</v>
      </c>
      <c r="F54" s="29" t="n">
        <f aca="false">IF(B54="","",D54*E54)</f>
        <v>4800</v>
      </c>
      <c r="G54" s="27" t="n">
        <f aca="false">IF(3&lt;=INPUTS!$B$23,INPUTS!$B$29,"")</f>
        <v>60</v>
      </c>
      <c r="H54" s="28" t="n">
        <f aca="false">IF(B54="","",E54)</f>
        <v>48</v>
      </c>
      <c r="I54" s="29" t="n">
        <f aca="false">IF(B54="","",G54*H54)</f>
        <v>2880</v>
      </c>
      <c r="J54" s="29" t="n">
        <f aca="false">IF(B54="","",F54-I54)</f>
        <v>1920</v>
      </c>
      <c r="K54" s="30" t="n">
        <f aca="false">IF(OR(B54="",F54=0),"",J54/F54)</f>
        <v>0.4</v>
      </c>
    </row>
    <row r="55" customFormat="false" ht="15" hidden="false" customHeight="false" outlineLevel="0" collapsed="false">
      <c r="A55" s="2"/>
      <c r="B55" s="25" t="str">
        <f aca="false">IF(4&lt;=INPUTS!$B$23,INPUTS!$B$54,"")</f>
        <v/>
      </c>
      <c r="C55" s="26" t="str">
        <f aca="false">IF(4&lt;=INPUTS!$B$23,"Manager","")</f>
        <v/>
      </c>
      <c r="D55" s="27" t="str">
        <f aca="false">IF(4&lt;=INPUTS!$B$23,INPUTS!$B$33,"")</f>
        <v/>
      </c>
      <c r="E55" s="28" t="str">
        <f aca="false">IF(4&lt;=INPUTS!$B$23,(INPUTS!$B$15+INPUTS!$B$16)*INPUTS!$B$38+INPUTS!$B$17*INPUTS!$B$41,"")</f>
        <v/>
      </c>
      <c r="F55" s="29" t="str">
        <f aca="false">IF(B55="","",D55*E55)</f>
        <v/>
      </c>
      <c r="G55" s="27" t="str">
        <f aca="false">IF(4&lt;=INPUTS!$B$23,INPUTS!$B$29,"")</f>
        <v/>
      </c>
      <c r="H55" s="28" t="str">
        <f aca="false">IF(B55="","",E55)</f>
        <v/>
      </c>
      <c r="I55" s="29" t="str">
        <f aca="false">IF(B55="","",G55*H55)</f>
        <v/>
      </c>
      <c r="J55" s="29" t="str">
        <f aca="false">IF(B55="","",F55-I55)</f>
        <v/>
      </c>
      <c r="K55" s="30" t="str">
        <f aca="false">IF(OR(B55="",F55=0),"",J55/F55)</f>
        <v/>
      </c>
    </row>
    <row r="56" customFormat="false" ht="15" hidden="false" customHeight="false" outlineLevel="0" collapsed="false">
      <c r="A56" s="2"/>
      <c r="B56" s="25" t="str">
        <f aca="false">IF(5&lt;=INPUTS!$B$23,INPUTS!$B$55,"")</f>
        <v/>
      </c>
      <c r="C56" s="26" t="str">
        <f aca="false">IF(5&lt;=INPUTS!$B$23,"Manager","")</f>
        <v/>
      </c>
      <c r="D56" s="27" t="str">
        <f aca="false">IF(5&lt;=INPUTS!$B$23,INPUTS!$B$33,"")</f>
        <v/>
      </c>
      <c r="E56" s="28" t="str">
        <f aca="false">IF(5&lt;=INPUTS!$B$23,(INPUTS!$B$15+INPUTS!$B$16)*INPUTS!$B$38+INPUTS!$B$17*INPUTS!$B$41,"")</f>
        <v/>
      </c>
      <c r="F56" s="29" t="str">
        <f aca="false">IF(B56="","",D56*E56)</f>
        <v/>
      </c>
      <c r="G56" s="27" t="str">
        <f aca="false">IF(5&lt;=INPUTS!$B$23,INPUTS!$B$29,"")</f>
        <v/>
      </c>
      <c r="H56" s="28" t="str">
        <f aca="false">IF(B56="","",E56)</f>
        <v/>
      </c>
      <c r="I56" s="29" t="str">
        <f aca="false">IF(B56="","",G56*H56)</f>
        <v/>
      </c>
      <c r="J56" s="29" t="str">
        <f aca="false">IF(B56="","",F56-I56)</f>
        <v/>
      </c>
      <c r="K56" s="30" t="str">
        <f aca="false">IF(OR(B56="",F56=0),"",J56/F56)</f>
        <v/>
      </c>
    </row>
    <row r="57" customFormat="false" ht="15" hidden="false" customHeight="false" outlineLevel="0" collapsed="false">
      <c r="A57" s="2"/>
      <c r="B57" s="25" t="str">
        <f aca="false">IF(6&lt;=INPUTS!$B$23,INPUTS!$B$56,"")</f>
        <v/>
      </c>
      <c r="C57" s="26" t="str">
        <f aca="false">IF(6&lt;=INPUTS!$B$23,"Manager","")</f>
        <v/>
      </c>
      <c r="D57" s="27" t="str">
        <f aca="false">IF(6&lt;=INPUTS!$B$23,INPUTS!$B$33,"")</f>
        <v/>
      </c>
      <c r="E57" s="28" t="str">
        <f aca="false">IF(6&lt;=INPUTS!$B$23,(INPUTS!$B$15+INPUTS!$B$16)*INPUTS!$B$38+INPUTS!$B$17*INPUTS!$B$41,"")</f>
        <v/>
      </c>
      <c r="F57" s="29" t="str">
        <f aca="false">IF(B57="","",D57*E57)</f>
        <v/>
      </c>
      <c r="G57" s="27" t="str">
        <f aca="false">IF(6&lt;=INPUTS!$B$23,INPUTS!$B$29,"")</f>
        <v/>
      </c>
      <c r="H57" s="28" t="str">
        <f aca="false">IF(B57="","",E57)</f>
        <v/>
      </c>
      <c r="I57" s="29" t="str">
        <f aca="false">IF(B57="","",G57*H57)</f>
        <v/>
      </c>
      <c r="J57" s="29" t="str">
        <f aca="false">IF(B57="","",F57-I57)</f>
        <v/>
      </c>
      <c r="K57" s="30" t="str">
        <f aca="false">IF(OR(B57="",F57=0),"",J57/F57)</f>
        <v/>
      </c>
    </row>
    <row r="58" customFormat="false" ht="15" hidden="false" customHeight="false" outlineLevel="0" collapsed="false">
      <c r="A58" s="2"/>
      <c r="B58" s="25" t="str">
        <f aca="false">IF(7&lt;=INPUTS!$B$23,INPUTS!$B$57,"")</f>
        <v/>
      </c>
      <c r="C58" s="26" t="str">
        <f aca="false">IF(7&lt;=INPUTS!$B$23,"Manager","")</f>
        <v/>
      </c>
      <c r="D58" s="27" t="str">
        <f aca="false">IF(7&lt;=INPUTS!$B$23,INPUTS!$B$33,"")</f>
        <v/>
      </c>
      <c r="E58" s="28" t="str">
        <f aca="false">IF(7&lt;=INPUTS!$B$23,(INPUTS!$B$15+INPUTS!$B$16)*INPUTS!$B$38+INPUTS!$B$17*INPUTS!$B$41,"")</f>
        <v/>
      </c>
      <c r="F58" s="29" t="str">
        <f aca="false">IF(B58="","",D58*E58)</f>
        <v/>
      </c>
      <c r="G58" s="27" t="str">
        <f aca="false">IF(7&lt;=INPUTS!$B$23,INPUTS!$B$29,"")</f>
        <v/>
      </c>
      <c r="H58" s="28" t="str">
        <f aca="false">IF(B58="","",E58)</f>
        <v/>
      </c>
      <c r="I58" s="29" t="str">
        <f aca="false">IF(B58="","",G58*H58)</f>
        <v/>
      </c>
      <c r="J58" s="29" t="str">
        <f aca="false">IF(B58="","",F58-I58)</f>
        <v/>
      </c>
      <c r="K58" s="30" t="str">
        <f aca="false">IF(OR(B58="",F58=0),"",J58/F58)</f>
        <v/>
      </c>
    </row>
    <row r="59" customFormat="false" ht="15" hidden="false" customHeight="false" outlineLevel="0" collapsed="false">
      <c r="A59" s="2"/>
      <c r="B59" s="25" t="str">
        <f aca="false">IF(8&lt;=INPUTS!$B$23,INPUTS!$B$58,"")</f>
        <v/>
      </c>
      <c r="C59" s="26" t="str">
        <f aca="false">IF(8&lt;=INPUTS!$B$23,"Manager","")</f>
        <v/>
      </c>
      <c r="D59" s="27" t="str">
        <f aca="false">IF(8&lt;=INPUTS!$B$23,INPUTS!$B$33,"")</f>
        <v/>
      </c>
      <c r="E59" s="28" t="str">
        <f aca="false">IF(8&lt;=INPUTS!$B$23,(INPUTS!$B$15+INPUTS!$B$16)*INPUTS!$B$38+INPUTS!$B$17*INPUTS!$B$41,"")</f>
        <v/>
      </c>
      <c r="F59" s="29" t="str">
        <f aca="false">IF(B59="","",D59*E59)</f>
        <v/>
      </c>
      <c r="G59" s="27" t="str">
        <f aca="false">IF(8&lt;=INPUTS!$B$23,INPUTS!$B$29,"")</f>
        <v/>
      </c>
      <c r="H59" s="28" t="str">
        <f aca="false">IF(B59="","",E59)</f>
        <v/>
      </c>
      <c r="I59" s="29" t="str">
        <f aca="false">IF(B59="","",G59*H59)</f>
        <v/>
      </c>
      <c r="J59" s="29" t="str">
        <f aca="false">IF(B59="","",F59-I59)</f>
        <v/>
      </c>
      <c r="K59" s="30" t="str">
        <f aca="false">IF(OR(B59="",F59=0),"",J59/F59)</f>
        <v/>
      </c>
    </row>
    <row r="60" customFormat="false" ht="15" hidden="false" customHeight="false" outlineLevel="0" collapsed="false">
      <c r="A60" s="2"/>
      <c r="B60" s="25" t="str">
        <f aca="false">IF(9&lt;=INPUTS!$B$23,INPUTS!$B$59,"")</f>
        <v/>
      </c>
      <c r="C60" s="26" t="str">
        <f aca="false">IF(9&lt;=INPUTS!$B$23,"Manager","")</f>
        <v/>
      </c>
      <c r="D60" s="27" t="str">
        <f aca="false">IF(9&lt;=INPUTS!$B$23,INPUTS!$B$33,"")</f>
        <v/>
      </c>
      <c r="E60" s="28" t="str">
        <f aca="false">IF(9&lt;=INPUTS!$B$23,(INPUTS!$B$15+INPUTS!$B$16)*INPUTS!$B$38+INPUTS!$B$17*INPUTS!$B$41,"")</f>
        <v/>
      </c>
      <c r="F60" s="29" t="str">
        <f aca="false">IF(B60="","",D60*E60)</f>
        <v/>
      </c>
      <c r="G60" s="27" t="str">
        <f aca="false">IF(9&lt;=INPUTS!$B$23,INPUTS!$B$29,"")</f>
        <v/>
      </c>
      <c r="H60" s="28" t="str">
        <f aca="false">IF(B60="","",E60)</f>
        <v/>
      </c>
      <c r="I60" s="29" t="str">
        <f aca="false">IF(B60="","",G60*H60)</f>
        <v/>
      </c>
      <c r="J60" s="29" t="str">
        <f aca="false">IF(B60="","",F60-I60)</f>
        <v/>
      </c>
      <c r="K60" s="30" t="str">
        <f aca="false">IF(OR(B60="",F60=0),"",J60/F60)</f>
        <v/>
      </c>
    </row>
    <row r="61" customFormat="false" ht="15" hidden="false" customHeight="false" outlineLevel="0" collapsed="false">
      <c r="A61" s="2"/>
      <c r="B61" s="25" t="str">
        <f aca="false">IF(10&lt;=INPUTS!$B$23,INPUTS!$B$60,"")</f>
        <v/>
      </c>
      <c r="C61" s="26" t="str">
        <f aca="false">IF(10&lt;=INPUTS!$B$23,"Manager","")</f>
        <v/>
      </c>
      <c r="D61" s="27" t="str">
        <f aca="false">IF(10&lt;=INPUTS!$B$23,INPUTS!$B$33,"")</f>
        <v/>
      </c>
      <c r="E61" s="28" t="str">
        <f aca="false">IF(10&lt;=INPUTS!$B$23,(INPUTS!$B$15+INPUTS!$B$16)*INPUTS!$B$38+INPUTS!$B$17*INPUTS!$B$41,"")</f>
        <v/>
      </c>
      <c r="F61" s="29" t="str">
        <f aca="false">IF(B61="","",D61*E61)</f>
        <v/>
      </c>
      <c r="G61" s="27" t="str">
        <f aca="false">IF(10&lt;=INPUTS!$B$23,INPUTS!$B$29,"")</f>
        <v/>
      </c>
      <c r="H61" s="28" t="str">
        <f aca="false">IF(B61="","",E61)</f>
        <v/>
      </c>
      <c r="I61" s="29" t="str">
        <f aca="false">IF(B61="","",G61*H61)</f>
        <v/>
      </c>
      <c r="J61" s="29" t="str">
        <f aca="false">IF(B61="","",F61-I61)</f>
        <v/>
      </c>
      <c r="K61" s="30" t="str">
        <f aca="false">IF(OR(B61="",F61=0),"",J61/F61)</f>
        <v/>
      </c>
    </row>
    <row r="62" customFormat="false" ht="15" hidden="false" customHeight="false" outlineLevel="0" collapsed="false">
      <c r="A62" s="2"/>
      <c r="B62" s="25" t="str">
        <f aca="false">IF(1&lt;=INPUTS!$B$24,INPUTS!$B$63,"")</f>
        <v>Event Coordinator</v>
      </c>
      <c r="C62" s="26" t="str">
        <f aca="false">IF(1&lt;=INPUTS!$B$24,"Coordinator","")</f>
        <v>Coordinator</v>
      </c>
      <c r="D62" s="27" t="n">
        <f aca="false">IF(1&lt;=INPUTS!$B$24,INPUTS!$B$34,"")</f>
        <v>65</v>
      </c>
      <c r="E62" s="28" t="n">
        <f aca="false">IF(1&lt;=INPUTS!$B$24,(INPUTS!$B$15+INPUTS!$B$16)*INPUTS!$B$39+INPUTS!$B$17*INPUTS!$B$41,"")</f>
        <v>32</v>
      </c>
      <c r="F62" s="29" t="n">
        <f aca="false">IF(B62="","",D62*E62)</f>
        <v>2080</v>
      </c>
      <c r="G62" s="27" t="n">
        <f aca="false">IF(1&lt;=INPUTS!$B$24,INPUTS!$B$30,"")</f>
        <v>42</v>
      </c>
      <c r="H62" s="28" t="n">
        <f aca="false">IF(B62="","",E62)</f>
        <v>32</v>
      </c>
      <c r="I62" s="29" t="n">
        <f aca="false">IF(B62="","",G62*H62)</f>
        <v>1344</v>
      </c>
      <c r="J62" s="29" t="n">
        <f aca="false">IF(B62="","",F62-I62)</f>
        <v>736</v>
      </c>
      <c r="K62" s="30" t="n">
        <f aca="false">IF(OR(B62="",F62=0),"",J62/F62)</f>
        <v>0.353846153846154</v>
      </c>
    </row>
    <row r="63" customFormat="false" ht="15" hidden="false" customHeight="false" outlineLevel="0" collapsed="false">
      <c r="A63" s="2"/>
      <c r="B63" s="25" t="str">
        <f aca="false">IF(2&lt;=INPUTS!$B$24,INPUTS!$B$64,"")</f>
        <v>Registration Coordinator</v>
      </c>
      <c r="C63" s="26" t="str">
        <f aca="false">IF(2&lt;=INPUTS!$B$24,"Coordinator","")</f>
        <v>Coordinator</v>
      </c>
      <c r="D63" s="27" t="n">
        <f aca="false">IF(2&lt;=INPUTS!$B$24,INPUTS!$B$34,"")</f>
        <v>65</v>
      </c>
      <c r="E63" s="28" t="n">
        <f aca="false">IF(2&lt;=INPUTS!$B$24,(INPUTS!$B$15+INPUTS!$B$16)*INPUTS!$B$39+INPUTS!$B$17*INPUTS!$B$41,"")</f>
        <v>32</v>
      </c>
      <c r="F63" s="29" t="n">
        <f aca="false">IF(B63="","",D63*E63)</f>
        <v>2080</v>
      </c>
      <c r="G63" s="27" t="n">
        <f aca="false">IF(2&lt;=INPUTS!$B$24,INPUTS!$B$30,"")</f>
        <v>42</v>
      </c>
      <c r="H63" s="28" t="n">
        <f aca="false">IF(B63="","",E63)</f>
        <v>32</v>
      </c>
      <c r="I63" s="29" t="n">
        <f aca="false">IF(B63="","",G63*H63)</f>
        <v>1344</v>
      </c>
      <c r="J63" s="29" t="n">
        <f aca="false">IF(B63="","",F63-I63)</f>
        <v>736</v>
      </c>
      <c r="K63" s="30" t="n">
        <f aca="false">IF(OR(B63="",F63=0),"",J63/F63)</f>
        <v>0.353846153846154</v>
      </c>
    </row>
    <row r="64" customFormat="false" ht="15" hidden="false" customHeight="false" outlineLevel="0" collapsed="false">
      <c r="A64" s="2"/>
      <c r="B64" s="25" t="str">
        <f aca="false">IF(3&lt;=INPUTS!$B$24,INPUTS!$B$65,"")</f>
        <v/>
      </c>
      <c r="C64" s="26" t="str">
        <f aca="false">IF(3&lt;=INPUTS!$B$24,"Coordinator","")</f>
        <v/>
      </c>
      <c r="D64" s="27" t="str">
        <f aca="false">IF(3&lt;=INPUTS!$B$24,INPUTS!$B$34,"")</f>
        <v/>
      </c>
      <c r="E64" s="28" t="str">
        <f aca="false">IF(3&lt;=INPUTS!$B$24,(INPUTS!$B$15+INPUTS!$B$16)*INPUTS!$B$39+INPUTS!$B$17*INPUTS!$B$41,"")</f>
        <v/>
      </c>
      <c r="F64" s="29" t="str">
        <f aca="false">IF(B64="","",D64*E64)</f>
        <v/>
      </c>
      <c r="G64" s="27" t="str">
        <f aca="false">IF(3&lt;=INPUTS!$B$24,INPUTS!$B$30,"")</f>
        <v/>
      </c>
      <c r="H64" s="28" t="str">
        <f aca="false">IF(B64="","",E64)</f>
        <v/>
      </c>
      <c r="I64" s="29" t="str">
        <f aca="false">IF(B64="","",G64*H64)</f>
        <v/>
      </c>
      <c r="J64" s="29" t="str">
        <f aca="false">IF(B64="","",F64-I64)</f>
        <v/>
      </c>
      <c r="K64" s="30" t="str">
        <f aca="false">IF(OR(B64="",F64=0),"",J64/F64)</f>
        <v/>
      </c>
    </row>
    <row r="65" customFormat="false" ht="15" hidden="false" customHeight="false" outlineLevel="0" collapsed="false">
      <c r="A65" s="2"/>
      <c r="B65" s="25" t="str">
        <f aca="false">IF(4&lt;=INPUTS!$B$24,INPUTS!$B$66,"")</f>
        <v/>
      </c>
      <c r="C65" s="26" t="str">
        <f aca="false">IF(4&lt;=INPUTS!$B$24,"Coordinator","")</f>
        <v/>
      </c>
      <c r="D65" s="27" t="str">
        <f aca="false">IF(4&lt;=INPUTS!$B$24,INPUTS!$B$34,"")</f>
        <v/>
      </c>
      <c r="E65" s="28" t="str">
        <f aca="false">IF(4&lt;=INPUTS!$B$24,(INPUTS!$B$15+INPUTS!$B$16)*INPUTS!$B$39+INPUTS!$B$17*INPUTS!$B$41,"")</f>
        <v/>
      </c>
      <c r="F65" s="29" t="str">
        <f aca="false">IF(B65="","",D65*E65)</f>
        <v/>
      </c>
      <c r="G65" s="27" t="str">
        <f aca="false">IF(4&lt;=INPUTS!$B$24,INPUTS!$B$30,"")</f>
        <v/>
      </c>
      <c r="H65" s="28" t="str">
        <f aca="false">IF(B65="","",E65)</f>
        <v/>
      </c>
      <c r="I65" s="29" t="str">
        <f aca="false">IF(B65="","",G65*H65)</f>
        <v/>
      </c>
      <c r="J65" s="29" t="str">
        <f aca="false">IF(B65="","",F65-I65)</f>
        <v/>
      </c>
      <c r="K65" s="30" t="str">
        <f aca="false">IF(OR(B65="",F65=0),"",J65/F65)</f>
        <v/>
      </c>
    </row>
    <row r="66" customFormat="false" ht="15" hidden="false" customHeight="false" outlineLevel="0" collapsed="false">
      <c r="A66" s="2"/>
      <c r="B66" s="25" t="str">
        <f aca="false">IF(5&lt;=INPUTS!$B$24,INPUTS!$B$67,"")</f>
        <v/>
      </c>
      <c r="C66" s="26" t="str">
        <f aca="false">IF(5&lt;=INPUTS!$B$24,"Coordinator","")</f>
        <v/>
      </c>
      <c r="D66" s="27" t="str">
        <f aca="false">IF(5&lt;=INPUTS!$B$24,INPUTS!$B$34,"")</f>
        <v/>
      </c>
      <c r="E66" s="28" t="str">
        <f aca="false">IF(5&lt;=INPUTS!$B$24,(INPUTS!$B$15+INPUTS!$B$16)*INPUTS!$B$39+INPUTS!$B$17*INPUTS!$B$41,"")</f>
        <v/>
      </c>
      <c r="F66" s="29" t="str">
        <f aca="false">IF(B66="","",D66*E66)</f>
        <v/>
      </c>
      <c r="G66" s="27" t="str">
        <f aca="false">IF(5&lt;=INPUTS!$B$24,INPUTS!$B$30,"")</f>
        <v/>
      </c>
      <c r="H66" s="28" t="str">
        <f aca="false">IF(B66="","",E66)</f>
        <v/>
      </c>
      <c r="I66" s="29" t="str">
        <f aca="false">IF(B66="","",G66*H66)</f>
        <v/>
      </c>
      <c r="J66" s="29" t="str">
        <f aca="false">IF(B66="","",F66-I66)</f>
        <v/>
      </c>
      <c r="K66" s="30" t="str">
        <f aca="false">IF(OR(B66="",F66=0),"",J66/F66)</f>
        <v/>
      </c>
    </row>
    <row r="67" customFormat="false" ht="15" hidden="false" customHeight="false" outlineLevel="0" collapsed="false">
      <c r="A67" s="2"/>
      <c r="B67" s="25" t="str">
        <f aca="false">IF(6&lt;=INPUTS!$B$24,INPUTS!$B$68,"")</f>
        <v/>
      </c>
      <c r="C67" s="26" t="str">
        <f aca="false">IF(6&lt;=INPUTS!$B$24,"Coordinator","")</f>
        <v/>
      </c>
      <c r="D67" s="27" t="str">
        <f aca="false">IF(6&lt;=INPUTS!$B$24,INPUTS!$B$34,"")</f>
        <v/>
      </c>
      <c r="E67" s="28" t="str">
        <f aca="false">IF(6&lt;=INPUTS!$B$24,(INPUTS!$B$15+INPUTS!$B$16)*INPUTS!$B$39+INPUTS!$B$17*INPUTS!$B$41,"")</f>
        <v/>
      </c>
      <c r="F67" s="29" t="str">
        <f aca="false">IF(B67="","",D67*E67)</f>
        <v/>
      </c>
      <c r="G67" s="27" t="str">
        <f aca="false">IF(6&lt;=INPUTS!$B$24,INPUTS!$B$30,"")</f>
        <v/>
      </c>
      <c r="H67" s="28" t="str">
        <f aca="false">IF(B67="","",E67)</f>
        <v/>
      </c>
      <c r="I67" s="29" t="str">
        <f aca="false">IF(B67="","",G67*H67)</f>
        <v/>
      </c>
      <c r="J67" s="29" t="str">
        <f aca="false">IF(B67="","",F67-I67)</f>
        <v/>
      </c>
      <c r="K67" s="30" t="str">
        <f aca="false">IF(OR(B67="",F67=0),"",J67/F67)</f>
        <v/>
      </c>
    </row>
    <row r="68" customFormat="false" ht="15" hidden="false" customHeight="false" outlineLevel="0" collapsed="false">
      <c r="A68" s="2"/>
      <c r="B68" s="25" t="str">
        <f aca="false">IF(7&lt;=INPUTS!$B$24,INPUTS!$B$69,"")</f>
        <v/>
      </c>
      <c r="C68" s="26" t="str">
        <f aca="false">IF(7&lt;=INPUTS!$B$24,"Coordinator","")</f>
        <v/>
      </c>
      <c r="D68" s="27" t="str">
        <f aca="false">IF(7&lt;=INPUTS!$B$24,INPUTS!$B$34,"")</f>
        <v/>
      </c>
      <c r="E68" s="28" t="str">
        <f aca="false">IF(7&lt;=INPUTS!$B$24,(INPUTS!$B$15+INPUTS!$B$16)*INPUTS!$B$39+INPUTS!$B$17*INPUTS!$B$41,"")</f>
        <v/>
      </c>
      <c r="F68" s="29" t="str">
        <f aca="false">IF(B68="","",D68*E68)</f>
        <v/>
      </c>
      <c r="G68" s="27" t="str">
        <f aca="false">IF(7&lt;=INPUTS!$B$24,INPUTS!$B$30,"")</f>
        <v/>
      </c>
      <c r="H68" s="28" t="str">
        <f aca="false">IF(B68="","",E68)</f>
        <v/>
      </c>
      <c r="I68" s="29" t="str">
        <f aca="false">IF(B68="","",G68*H68)</f>
        <v/>
      </c>
      <c r="J68" s="29" t="str">
        <f aca="false">IF(B68="","",F68-I68)</f>
        <v/>
      </c>
      <c r="K68" s="30" t="str">
        <f aca="false">IF(OR(B68="",F68=0),"",J68/F68)</f>
        <v/>
      </c>
    </row>
    <row r="69" customFormat="false" ht="15" hidden="false" customHeight="false" outlineLevel="0" collapsed="false">
      <c r="A69" s="2"/>
      <c r="B69" s="25" t="str">
        <f aca="false">IF(8&lt;=INPUTS!$B$24,INPUTS!$B$70,"")</f>
        <v/>
      </c>
      <c r="C69" s="26" t="str">
        <f aca="false">IF(8&lt;=INPUTS!$B$24,"Coordinator","")</f>
        <v/>
      </c>
      <c r="D69" s="27" t="str">
        <f aca="false">IF(8&lt;=INPUTS!$B$24,INPUTS!$B$34,"")</f>
        <v/>
      </c>
      <c r="E69" s="28" t="str">
        <f aca="false">IF(8&lt;=INPUTS!$B$24,(INPUTS!$B$15+INPUTS!$B$16)*INPUTS!$B$39+INPUTS!$B$17*INPUTS!$B$41,"")</f>
        <v/>
      </c>
      <c r="F69" s="29" t="str">
        <f aca="false">IF(B69="","",D69*E69)</f>
        <v/>
      </c>
      <c r="G69" s="27" t="str">
        <f aca="false">IF(8&lt;=INPUTS!$B$24,INPUTS!$B$30,"")</f>
        <v/>
      </c>
      <c r="H69" s="28" t="str">
        <f aca="false">IF(B69="","",E69)</f>
        <v/>
      </c>
      <c r="I69" s="29" t="str">
        <f aca="false">IF(B69="","",G69*H69)</f>
        <v/>
      </c>
      <c r="J69" s="29" t="str">
        <f aca="false">IF(B69="","",F69-I69)</f>
        <v/>
      </c>
      <c r="K69" s="30" t="str">
        <f aca="false">IF(OR(B69="",F69=0),"",J69/F69)</f>
        <v/>
      </c>
    </row>
    <row r="70" customFormat="false" ht="15" hidden="false" customHeight="false" outlineLevel="0" collapsed="false">
      <c r="A70" s="2"/>
      <c r="B70" s="25" t="str">
        <f aca="false">IF(9&lt;=INPUTS!$B$24,INPUTS!$B$71,"")</f>
        <v/>
      </c>
      <c r="C70" s="26" t="str">
        <f aca="false">IF(9&lt;=INPUTS!$B$24,"Coordinator","")</f>
        <v/>
      </c>
      <c r="D70" s="27" t="str">
        <f aca="false">IF(9&lt;=INPUTS!$B$24,INPUTS!$B$34,"")</f>
        <v/>
      </c>
      <c r="E70" s="28" t="str">
        <f aca="false">IF(9&lt;=INPUTS!$B$24,(INPUTS!$B$15+INPUTS!$B$16)*INPUTS!$B$39+INPUTS!$B$17*INPUTS!$B$41,"")</f>
        <v/>
      </c>
      <c r="F70" s="29" t="str">
        <f aca="false">IF(B70="","",D70*E70)</f>
        <v/>
      </c>
      <c r="G70" s="27" t="str">
        <f aca="false">IF(9&lt;=INPUTS!$B$24,INPUTS!$B$30,"")</f>
        <v/>
      </c>
      <c r="H70" s="28" t="str">
        <f aca="false">IF(B70="","",E70)</f>
        <v/>
      </c>
      <c r="I70" s="29" t="str">
        <f aca="false">IF(B70="","",G70*H70)</f>
        <v/>
      </c>
      <c r="J70" s="29" t="str">
        <f aca="false">IF(B70="","",F70-I70)</f>
        <v/>
      </c>
      <c r="K70" s="30" t="str">
        <f aca="false">IF(OR(B70="",F70=0),"",J70/F70)</f>
        <v/>
      </c>
    </row>
    <row r="71" customFormat="false" ht="15" hidden="false" customHeight="false" outlineLevel="0" collapsed="false">
      <c r="A71" s="2"/>
      <c r="B71" s="25" t="str">
        <f aca="false">IF(10&lt;=INPUTS!$B$24,INPUTS!$B$72,"")</f>
        <v/>
      </c>
      <c r="C71" s="26" t="str">
        <f aca="false">IF(10&lt;=INPUTS!$B$24,"Coordinator","")</f>
        <v/>
      </c>
      <c r="D71" s="27" t="str">
        <f aca="false">IF(10&lt;=INPUTS!$B$24,INPUTS!$B$34,"")</f>
        <v/>
      </c>
      <c r="E71" s="28" t="str">
        <f aca="false">IF(10&lt;=INPUTS!$B$24,(INPUTS!$B$15+INPUTS!$B$16)*INPUTS!$B$39+INPUTS!$B$17*INPUTS!$B$41,"")</f>
        <v/>
      </c>
      <c r="F71" s="29" t="str">
        <f aca="false">IF(B71="","",D71*E71)</f>
        <v/>
      </c>
      <c r="G71" s="27" t="str">
        <f aca="false">IF(10&lt;=INPUTS!$B$24,INPUTS!$B$30,"")</f>
        <v/>
      </c>
      <c r="H71" s="28" t="str">
        <f aca="false">IF(B71="","",E71)</f>
        <v/>
      </c>
      <c r="I71" s="29" t="str">
        <f aca="false">IF(B71="","",G71*H71)</f>
        <v/>
      </c>
      <c r="J71" s="29" t="str">
        <f aca="false">IF(B71="","",F71-I71)</f>
        <v/>
      </c>
      <c r="K71" s="30" t="str">
        <f aca="false">IF(OR(B71="",F71=0),"",J71/F71)</f>
        <v/>
      </c>
    </row>
    <row r="72" customFormat="false" ht="15" hidden="false" customHeight="false" outlineLevel="0" collapsed="false">
      <c r="A72" s="2"/>
      <c r="B72" s="25" t="str">
        <f aca="false">"Coordinator Overtime  ("&amp;TEXT(INPUTS!$B$24,"0")&amp;" coordinators x "&amp;TEXT(INPUTS!$B$40,"0")&amp;" hrs x "&amp;TEXT(INPUTS!$B$15+INPUTS!$B$16,"0")&amp;" days)"</f>
        <v>Coordinator Overtime  (2 coordinators x 2 hrs x 4 days)</v>
      </c>
      <c r="C72" s="26" t="str">
        <f aca="false">IF(INPUTS!$B$24=0,"","Coordinator")</f>
        <v>Coordinator</v>
      </c>
      <c r="D72" s="27" t="n">
        <f aca="false">IF(INPUTS!$B$24=0,"",INPUTS!$B$34*INPUTS!$B$35)</f>
        <v>97.5</v>
      </c>
      <c r="E72" s="28" t="n">
        <f aca="false">IF(INPUTS!$B$24=0,"",INPUTS!$B$24*(INPUTS!$B$15+INPUTS!$B$16)*INPUTS!$B$40)</f>
        <v>16</v>
      </c>
      <c r="F72" s="29" t="n">
        <f aca="false">IF(B72="","",D72*E72)</f>
        <v>1560</v>
      </c>
      <c r="G72" s="27" t="n">
        <f aca="false">IF(INPUTS!$B$24=0,"",INPUTS!$B$30*INPUTS!$B$35)</f>
        <v>63</v>
      </c>
      <c r="H72" s="28" t="n">
        <f aca="false">IF(B72="","",E72)</f>
        <v>16</v>
      </c>
      <c r="I72" s="29" t="n">
        <f aca="false">IF(B72="","",G72*H72)</f>
        <v>1008</v>
      </c>
      <c r="J72" s="29" t="n">
        <f aca="false">IF(B72="","",F72-I72)</f>
        <v>552</v>
      </c>
      <c r="K72" s="30" t="n">
        <f aca="false">IF(OR(B72="",F72=0),"",J72/F72)</f>
        <v>0.353846153846154</v>
      </c>
    </row>
    <row r="73" customFormat="false" ht="15" hidden="false" customHeight="false" outlineLevel="0" collapsed="false">
      <c r="A73" s="2"/>
      <c r="B73" s="31" t="s">
        <v>25</v>
      </c>
      <c r="C73" s="32"/>
      <c r="D73" s="33"/>
      <c r="E73" s="34" t="n">
        <f aca="false">SUM(E52:E72)</f>
        <v>224</v>
      </c>
      <c r="F73" s="35" t="n">
        <f aca="false">SUM(F52:F72)</f>
        <v>20120</v>
      </c>
      <c r="G73" s="33"/>
      <c r="H73" s="34" t="n">
        <f aca="false">SUM(H52:H72)</f>
        <v>224</v>
      </c>
      <c r="I73" s="35" t="n">
        <f aca="false">SUM(I52:I72)</f>
        <v>12336</v>
      </c>
      <c r="J73" s="35" t="n">
        <f aca="false">SUM(J52:J72)</f>
        <v>7784</v>
      </c>
      <c r="K73" s="36" t="n">
        <f aca="false">IF(F73=0,"",J73/F73)</f>
        <v>0.386878727634195</v>
      </c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customFormat="false" ht="15" hidden="false" customHeight="false" outlineLevel="0" collapsed="false">
      <c r="A75" s="2"/>
      <c r="B75" s="5" t="s">
        <v>27</v>
      </c>
      <c r="C75" s="5"/>
      <c r="D75" s="5"/>
      <c r="E75" s="5"/>
      <c r="F75" s="2"/>
      <c r="G75" s="2"/>
      <c r="H75" s="2"/>
      <c r="I75" s="2"/>
      <c r="J75" s="2"/>
      <c r="K75" s="2"/>
    </row>
    <row r="76" customFormat="false" ht="27.75" hidden="false" customHeight="true" outlineLevel="0" collapsed="false">
      <c r="A76" s="2"/>
      <c r="B76" s="6" t="s">
        <v>2</v>
      </c>
      <c r="C76" s="6" t="s">
        <v>28</v>
      </c>
      <c r="D76" s="6" t="s">
        <v>29</v>
      </c>
      <c r="E76" s="6" t="s">
        <v>30</v>
      </c>
      <c r="F76" s="2"/>
      <c r="G76" s="2"/>
      <c r="H76" s="2"/>
      <c r="I76" s="2"/>
      <c r="J76" s="2"/>
      <c r="K76" s="2"/>
    </row>
    <row r="77" customFormat="false" ht="15" hidden="false" customHeight="false" outlineLevel="0" collapsed="false">
      <c r="A77" s="2"/>
      <c r="B77" s="7" t="s">
        <v>31</v>
      </c>
      <c r="C77" s="16" t="n">
        <f aca="false">E48</f>
        <v>423</v>
      </c>
      <c r="D77" s="17" t="n">
        <f aca="false">INPUTS!$B$44</f>
        <v>0.61</v>
      </c>
      <c r="E77" s="8" t="n">
        <f aca="false">C77*D77</f>
        <v>258.03</v>
      </c>
      <c r="F77" s="2"/>
      <c r="G77" s="2"/>
      <c r="H77" s="2"/>
      <c r="I77" s="2"/>
      <c r="J77" s="2"/>
      <c r="K77" s="2"/>
    </row>
    <row r="78" customFormat="false" ht="15" hidden="false" customHeight="false" outlineLevel="0" collapsed="false">
      <c r="A78" s="2"/>
      <c r="B78" s="7" t="s">
        <v>32</v>
      </c>
      <c r="C78" s="16" t="n">
        <f aca="false">E73</f>
        <v>224</v>
      </c>
      <c r="D78" s="17" t="n">
        <f aca="false">INPUTS!$B$44</f>
        <v>0.61</v>
      </c>
      <c r="E78" s="8" t="n">
        <f aca="false">C78*D78</f>
        <v>136.64</v>
      </c>
      <c r="F78" s="2"/>
      <c r="G78" s="2"/>
      <c r="H78" s="2"/>
      <c r="I78" s="2"/>
      <c r="J78" s="2"/>
      <c r="K78" s="2"/>
    </row>
    <row r="79" customFormat="false" ht="15" hidden="false" customHeight="false" outlineLevel="0" collapsed="false">
      <c r="A79" s="2"/>
      <c r="B79" s="19" t="s">
        <v>33</v>
      </c>
      <c r="C79" s="20" t="n">
        <f aca="false">SUM(C77:C78)</f>
        <v>647</v>
      </c>
      <c r="D79" s="21"/>
      <c r="E79" s="22" t="n">
        <f aca="false">SUM(E77:E78)</f>
        <v>394.67</v>
      </c>
      <c r="F79" s="2"/>
      <c r="G79" s="2"/>
      <c r="H79" s="2"/>
      <c r="I79" s="2"/>
      <c r="J79" s="2"/>
      <c r="K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customFormat="false" ht="15" hidden="false" customHeight="false" outlineLevel="0" collapsed="false">
      <c r="A81" s="2"/>
      <c r="B81" s="24" t="s">
        <v>34</v>
      </c>
      <c r="C81" s="2"/>
      <c r="D81" s="2"/>
      <c r="E81" s="2"/>
      <c r="F81" s="2"/>
      <c r="G81" s="2"/>
      <c r="H81" s="2"/>
      <c r="I81" s="2"/>
      <c r="J81" s="2"/>
      <c r="K81" s="2"/>
    </row>
    <row r="82" customFormat="false" ht="15" hidden="false" customHeight="false" outlineLevel="0" collapsed="false">
      <c r="A82" s="2"/>
      <c r="B82" s="24" t="s">
        <v>35</v>
      </c>
      <c r="C82" s="2"/>
      <c r="D82" s="2"/>
      <c r="E82" s="2"/>
      <c r="F82" s="2"/>
      <c r="G82" s="2"/>
      <c r="H82" s="2"/>
      <c r="I82" s="2"/>
      <c r="J82" s="2"/>
      <c r="K8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36</v>
      </c>
      <c r="B1" s="2"/>
      <c r="C1" s="2"/>
    </row>
    <row r="2" customFormat="false" ht="15" hidden="false" customHeight="false" outlineLevel="0" collapsed="false">
      <c r="A2" s="24" t="s">
        <v>37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5" t="s">
        <v>38</v>
      </c>
      <c r="B4" s="5"/>
      <c r="C4" s="5"/>
    </row>
    <row r="5" customFormat="false" ht="15" hidden="false" customHeight="false" outlineLevel="0" collapsed="false">
      <c r="A5" s="37" t="s">
        <v>39</v>
      </c>
      <c r="B5" s="38" t="s">
        <v>40</v>
      </c>
      <c r="C5" s="2"/>
    </row>
    <row r="6" customFormat="false" ht="15" hidden="false" customHeight="false" outlineLevel="0" collapsed="false">
      <c r="A6" s="37" t="s">
        <v>41</v>
      </c>
      <c r="B6" s="38" t="s">
        <v>42</v>
      </c>
      <c r="C6" s="2"/>
    </row>
    <row r="7" customFormat="false" ht="15" hidden="false" customHeight="false" outlineLevel="0" collapsed="false">
      <c r="A7" s="37" t="s">
        <v>43</v>
      </c>
      <c r="B7" s="38" t="s">
        <v>44</v>
      </c>
      <c r="C7" s="2"/>
    </row>
    <row r="8" customFormat="false" ht="15" hidden="false" customHeight="false" outlineLevel="0" collapsed="false">
      <c r="A8" s="37" t="s">
        <v>45</v>
      </c>
      <c r="B8" s="39" t="n">
        <v>500</v>
      </c>
      <c r="C8" s="24" t="s">
        <v>46</v>
      </c>
    </row>
    <row r="9" customFormat="false" ht="15" hidden="false" customHeight="false" outlineLevel="0" collapsed="false">
      <c r="A9" s="37" t="s">
        <v>47</v>
      </c>
      <c r="B9" s="39" t="n">
        <v>60</v>
      </c>
      <c r="C9" s="24" t="s">
        <v>48</v>
      </c>
    </row>
    <row r="10" customFormat="false" ht="15" hidden="false" customHeight="false" outlineLevel="0" collapsed="false">
      <c r="A10" s="37" t="s">
        <v>49</v>
      </c>
      <c r="B10" s="39" t="n">
        <v>20</v>
      </c>
      <c r="C10" s="24" t="s">
        <v>50</v>
      </c>
    </row>
    <row r="11" customFormat="false" ht="15" hidden="false" customHeight="false" outlineLevel="0" collapsed="false">
      <c r="A11" s="37" t="s">
        <v>51</v>
      </c>
      <c r="B11" s="39" t="n">
        <v>15</v>
      </c>
      <c r="C11" s="24" t="s">
        <v>52</v>
      </c>
    </row>
    <row r="12" customFormat="false" ht="15" hidden="false" customHeight="false" outlineLevel="0" collapsed="false">
      <c r="A12" s="37" t="s">
        <v>53</v>
      </c>
      <c r="B12" s="39" t="n">
        <v>6</v>
      </c>
      <c r="C12" s="24" t="s">
        <v>54</v>
      </c>
    </row>
    <row r="13" customFormat="false" ht="15" hidden="false" customHeight="false" outlineLevel="0" collapsed="false">
      <c r="A13" s="2"/>
      <c r="B13" s="2"/>
      <c r="C13" s="2"/>
    </row>
    <row r="14" customFormat="false" ht="15" hidden="false" customHeight="false" outlineLevel="0" collapsed="false">
      <c r="A14" s="5" t="s">
        <v>55</v>
      </c>
      <c r="B14" s="5"/>
      <c r="C14" s="5"/>
    </row>
    <row r="15" customFormat="false" ht="15" hidden="false" customHeight="false" outlineLevel="0" collapsed="false">
      <c r="A15" s="37" t="s">
        <v>56</v>
      </c>
      <c r="B15" s="39" t="n">
        <v>3</v>
      </c>
      <c r="C15" s="2"/>
    </row>
    <row r="16" customFormat="false" ht="15" hidden="false" customHeight="false" outlineLevel="0" collapsed="false">
      <c r="A16" s="37" t="s">
        <v>57</v>
      </c>
      <c r="B16" s="39" t="n">
        <v>1</v>
      </c>
      <c r="C16" s="2"/>
    </row>
    <row r="17" customFormat="false" ht="15" hidden="false" customHeight="false" outlineLevel="0" collapsed="false">
      <c r="A17" s="37" t="s">
        <v>58</v>
      </c>
      <c r="B17" s="39" t="n">
        <v>0</v>
      </c>
      <c r="C17" s="24" t="s">
        <v>59</v>
      </c>
    </row>
    <row r="18" customFormat="false" ht="15" hidden="false" customHeight="false" outlineLevel="0" collapsed="false">
      <c r="A18" s="40" t="s">
        <v>60</v>
      </c>
      <c r="B18" s="41" t="n">
        <f aca="false">B15+B16+B17</f>
        <v>4</v>
      </c>
      <c r="C18" s="2"/>
    </row>
    <row r="19" customFormat="false" ht="15" hidden="false" customHeight="false" outlineLevel="0" collapsed="false">
      <c r="A19" s="37" t="s">
        <v>61</v>
      </c>
      <c r="B19" s="39" t="n">
        <v>9</v>
      </c>
      <c r="C19" s="24" t="s">
        <v>62</v>
      </c>
    </row>
    <row r="20" customFormat="false" ht="15" hidden="false" customHeight="false" outlineLevel="0" collapsed="false">
      <c r="A20" s="40" t="s">
        <v>63</v>
      </c>
      <c r="B20" s="41" t="n">
        <f aca="false">ROUND(B19*4.33,0)</f>
        <v>39</v>
      </c>
      <c r="C20" s="24" t="s">
        <v>64</v>
      </c>
    </row>
    <row r="21" customFormat="false" ht="15" hidden="false" customHeight="false" outlineLevel="0" collapsed="false">
      <c r="A21" s="2"/>
      <c r="B21" s="2"/>
      <c r="C21" s="2"/>
    </row>
    <row r="22" customFormat="false" ht="15" hidden="false" customHeight="false" outlineLevel="0" collapsed="false">
      <c r="A22" s="5" t="s">
        <v>65</v>
      </c>
      <c r="B22" s="5"/>
      <c r="C22" s="5"/>
    </row>
    <row r="23" customFormat="false" ht="15" hidden="false" customHeight="false" outlineLevel="0" collapsed="false">
      <c r="A23" s="37" t="s">
        <v>66</v>
      </c>
      <c r="B23" s="39" t="n">
        <v>3</v>
      </c>
      <c r="C23" s="24" t="s">
        <v>67</v>
      </c>
    </row>
    <row r="24" customFormat="false" ht="15" hidden="false" customHeight="false" outlineLevel="0" collapsed="false">
      <c r="A24" s="37" t="s">
        <v>68</v>
      </c>
      <c r="B24" s="39" t="n">
        <v>2</v>
      </c>
      <c r="C24" s="2"/>
    </row>
    <row r="25" customFormat="false" ht="15" hidden="false" customHeight="false" outlineLevel="0" collapsed="false">
      <c r="A25" s="37" t="s">
        <v>69</v>
      </c>
      <c r="B25" s="39" t="n">
        <v>1</v>
      </c>
      <c r="C25" s="24" t="s">
        <v>70</v>
      </c>
    </row>
    <row r="26" customFormat="false" ht="15" hidden="false" customHeight="false" outlineLevel="0" collapsed="false">
      <c r="A26" s="37" t="s">
        <v>71</v>
      </c>
      <c r="B26" s="39" t="n">
        <v>1</v>
      </c>
      <c r="C26" s="2"/>
    </row>
    <row r="27" customFormat="false" ht="15" hidden="false" customHeight="false" outlineLevel="0" collapsed="false">
      <c r="A27" s="2"/>
      <c r="B27" s="2"/>
      <c r="C27" s="2"/>
    </row>
    <row r="28" customFormat="false" ht="15" hidden="false" customHeight="false" outlineLevel="0" collapsed="false">
      <c r="A28" s="5" t="s">
        <v>72</v>
      </c>
      <c r="B28" s="5"/>
      <c r="C28" s="5"/>
    </row>
    <row r="29" customFormat="false" ht="15" hidden="false" customHeight="false" outlineLevel="0" collapsed="false">
      <c r="A29" s="40" t="s">
        <v>73</v>
      </c>
      <c r="B29" s="42" t="n">
        <v>60</v>
      </c>
      <c r="C29" s="24" t="s">
        <v>74</v>
      </c>
    </row>
    <row r="30" customFormat="false" ht="15" hidden="false" customHeight="false" outlineLevel="0" collapsed="false">
      <c r="A30" s="40" t="s">
        <v>75</v>
      </c>
      <c r="B30" s="42" t="n">
        <v>42</v>
      </c>
      <c r="C30" s="24" t="s">
        <v>76</v>
      </c>
    </row>
    <row r="31" customFormat="false" ht="15" hidden="false" customHeight="false" outlineLevel="0" collapsed="false">
      <c r="A31" s="37" t="s">
        <v>77</v>
      </c>
      <c r="B31" s="42" t="n">
        <v>90</v>
      </c>
      <c r="C31" s="24" t="s">
        <v>78</v>
      </c>
    </row>
    <row r="32" customFormat="false" ht="15" hidden="false" customHeight="false" outlineLevel="0" collapsed="false">
      <c r="A32" s="37" t="s">
        <v>79</v>
      </c>
      <c r="B32" s="42" t="n">
        <v>65</v>
      </c>
      <c r="C32" s="2"/>
    </row>
    <row r="33" customFormat="false" ht="15" hidden="false" customHeight="false" outlineLevel="0" collapsed="false">
      <c r="A33" s="37" t="s">
        <v>80</v>
      </c>
      <c r="B33" s="42" t="n">
        <v>100</v>
      </c>
      <c r="C33" s="2"/>
    </row>
    <row r="34" customFormat="false" ht="15" hidden="false" customHeight="false" outlineLevel="0" collapsed="false">
      <c r="A34" s="37" t="s">
        <v>81</v>
      </c>
      <c r="B34" s="42" t="n">
        <v>65</v>
      </c>
      <c r="C34" s="2"/>
    </row>
    <row r="35" customFormat="false" ht="15" hidden="false" customHeight="false" outlineLevel="0" collapsed="false">
      <c r="A35" s="37" t="s">
        <v>82</v>
      </c>
      <c r="B35" s="43" t="n">
        <v>1.5</v>
      </c>
      <c r="C35" s="24" t="s">
        <v>83</v>
      </c>
    </row>
    <row r="36" customFormat="false" ht="15" hidden="false" customHeight="false" outlineLevel="0" collapsed="false">
      <c r="A36" s="2"/>
      <c r="B36" s="2"/>
      <c r="C36" s="2"/>
    </row>
    <row r="37" customFormat="false" ht="15" hidden="false" customHeight="false" outlineLevel="0" collapsed="false">
      <c r="A37" s="5" t="s">
        <v>84</v>
      </c>
      <c r="B37" s="5"/>
      <c r="C37" s="5"/>
    </row>
    <row r="38" customFormat="false" ht="15" hidden="false" customHeight="false" outlineLevel="0" collapsed="false">
      <c r="A38" s="37" t="s">
        <v>85</v>
      </c>
      <c r="B38" s="39" t="n">
        <v>12</v>
      </c>
      <c r="C38" s="24" t="s">
        <v>86</v>
      </c>
    </row>
    <row r="39" customFormat="false" ht="15" hidden="false" customHeight="false" outlineLevel="0" collapsed="false">
      <c r="A39" s="37" t="s">
        <v>87</v>
      </c>
      <c r="B39" s="39" t="n">
        <v>8</v>
      </c>
      <c r="C39" s="24" t="s">
        <v>88</v>
      </c>
    </row>
    <row r="40" customFormat="false" ht="15" hidden="false" customHeight="false" outlineLevel="0" collapsed="false">
      <c r="A40" s="37" t="s">
        <v>89</v>
      </c>
      <c r="B40" s="39" t="n">
        <v>2</v>
      </c>
      <c r="C40" s="2"/>
    </row>
    <row r="41" customFormat="false" ht="15" hidden="false" customHeight="false" outlineLevel="0" collapsed="false">
      <c r="A41" s="37" t="s">
        <v>90</v>
      </c>
      <c r="B41" s="39" t="n">
        <v>8</v>
      </c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5" t="s">
        <v>91</v>
      </c>
      <c r="B43" s="5"/>
      <c r="C43" s="5"/>
    </row>
    <row r="44" customFormat="false" ht="15" hidden="false" customHeight="false" outlineLevel="0" collapsed="false">
      <c r="A44" s="40" t="s">
        <v>92</v>
      </c>
      <c r="B44" s="42" t="n">
        <v>0.61</v>
      </c>
      <c r="C44" s="24" t="s">
        <v>93</v>
      </c>
    </row>
    <row r="45" customFormat="false" ht="15" hidden="false" customHeight="false" outlineLevel="0" collapsed="false">
      <c r="A45" s="40" t="s">
        <v>94</v>
      </c>
      <c r="B45" s="44" t="n">
        <v>0.02</v>
      </c>
      <c r="C45" s="24" t="s">
        <v>95</v>
      </c>
    </row>
    <row r="46" customFormat="false" ht="15" hidden="false" customHeight="false" outlineLevel="0" collapsed="false">
      <c r="A46" s="37" t="s">
        <v>96</v>
      </c>
      <c r="B46" s="44" t="n">
        <v>0.05</v>
      </c>
      <c r="C46" s="24" t="s">
        <v>97</v>
      </c>
    </row>
    <row r="47" customFormat="false" ht="15" hidden="false" customHeight="false" outlineLevel="0" collapsed="false">
      <c r="A47" s="37" t="s">
        <v>98</v>
      </c>
      <c r="B47" s="38" t="s">
        <v>99</v>
      </c>
      <c r="C47" s="2"/>
    </row>
    <row r="48" customFormat="false" ht="15" hidden="false" customHeight="false" outlineLevel="0" collapsed="false">
      <c r="A48" s="2"/>
      <c r="B48" s="2"/>
      <c r="C48" s="2"/>
    </row>
    <row r="49" customFormat="false" ht="15" hidden="false" customHeight="false" outlineLevel="0" collapsed="false">
      <c r="A49" s="5" t="s">
        <v>100</v>
      </c>
      <c r="B49" s="5"/>
      <c r="C49" s="5"/>
    </row>
    <row r="50" customFormat="false" ht="15" hidden="false" customHeight="false" outlineLevel="0" collapsed="false">
      <c r="A50" s="40" t="s">
        <v>101</v>
      </c>
      <c r="B50" s="2"/>
      <c r="C50" s="24" t="s">
        <v>102</v>
      </c>
    </row>
    <row r="51" customFormat="false" ht="15" hidden="false" customHeight="false" outlineLevel="0" collapsed="false">
      <c r="A51" s="37" t="s">
        <v>103</v>
      </c>
      <c r="B51" s="38" t="s">
        <v>104</v>
      </c>
      <c r="C51" s="2"/>
    </row>
    <row r="52" customFormat="false" ht="15" hidden="false" customHeight="false" outlineLevel="0" collapsed="false">
      <c r="A52" s="37" t="s">
        <v>105</v>
      </c>
      <c r="B52" s="38" t="s">
        <v>106</v>
      </c>
      <c r="C52" s="2"/>
    </row>
    <row r="53" customFormat="false" ht="15" hidden="false" customHeight="false" outlineLevel="0" collapsed="false">
      <c r="A53" s="37" t="s">
        <v>107</v>
      </c>
      <c r="B53" s="38" t="s">
        <v>108</v>
      </c>
      <c r="C53" s="2"/>
    </row>
    <row r="54" customFormat="false" ht="15" hidden="false" customHeight="false" outlineLevel="0" collapsed="false">
      <c r="A54" s="37" t="s">
        <v>109</v>
      </c>
      <c r="B54" s="38" t="s">
        <v>110</v>
      </c>
      <c r="C54" s="2"/>
    </row>
    <row r="55" customFormat="false" ht="15" hidden="false" customHeight="false" outlineLevel="0" collapsed="false">
      <c r="A55" s="37" t="s">
        <v>111</v>
      </c>
      <c r="B55" s="38" t="s">
        <v>112</v>
      </c>
      <c r="C55" s="2"/>
    </row>
    <row r="56" customFormat="false" ht="15" hidden="false" customHeight="false" outlineLevel="0" collapsed="false">
      <c r="A56" s="37" t="s">
        <v>113</v>
      </c>
      <c r="B56" s="38" t="s">
        <v>114</v>
      </c>
      <c r="C56" s="2"/>
    </row>
    <row r="57" customFormat="false" ht="15" hidden="false" customHeight="false" outlineLevel="0" collapsed="false">
      <c r="A57" s="37" t="s">
        <v>115</v>
      </c>
      <c r="B57" s="38" t="s">
        <v>116</v>
      </c>
      <c r="C57" s="2"/>
    </row>
    <row r="58" customFormat="false" ht="15" hidden="false" customHeight="false" outlineLevel="0" collapsed="false">
      <c r="A58" s="37" t="s">
        <v>117</v>
      </c>
      <c r="B58" s="38" t="s">
        <v>118</v>
      </c>
      <c r="C58" s="2"/>
    </row>
    <row r="59" customFormat="false" ht="15" hidden="false" customHeight="false" outlineLevel="0" collapsed="false">
      <c r="A59" s="37" t="s">
        <v>119</v>
      </c>
      <c r="B59" s="38" t="s">
        <v>120</v>
      </c>
      <c r="C59" s="2"/>
    </row>
    <row r="60" customFormat="false" ht="15" hidden="false" customHeight="false" outlineLevel="0" collapsed="false">
      <c r="A60" s="37" t="s">
        <v>121</v>
      </c>
      <c r="B60" s="38" t="s">
        <v>122</v>
      </c>
      <c r="C60" s="2"/>
    </row>
    <row r="61" customFormat="false" ht="15" hidden="false" customHeight="false" outlineLevel="0" collapsed="false">
      <c r="A61" s="2"/>
      <c r="B61" s="2"/>
      <c r="C61" s="2"/>
    </row>
    <row r="62" customFormat="false" ht="15" hidden="false" customHeight="false" outlineLevel="0" collapsed="false">
      <c r="A62" s="40" t="s">
        <v>123</v>
      </c>
      <c r="B62" s="2"/>
      <c r="C62" s="2"/>
    </row>
    <row r="63" customFormat="false" ht="15" hidden="false" customHeight="false" outlineLevel="0" collapsed="false">
      <c r="A63" s="37" t="s">
        <v>124</v>
      </c>
      <c r="B63" s="38" t="s">
        <v>125</v>
      </c>
      <c r="C63" s="2"/>
    </row>
    <row r="64" customFormat="false" ht="15" hidden="false" customHeight="false" outlineLevel="0" collapsed="false">
      <c r="A64" s="37" t="s">
        <v>126</v>
      </c>
      <c r="B64" s="38" t="s">
        <v>127</v>
      </c>
      <c r="C64" s="2"/>
    </row>
    <row r="65" customFormat="false" ht="15" hidden="false" customHeight="false" outlineLevel="0" collapsed="false">
      <c r="A65" s="37" t="s">
        <v>128</v>
      </c>
      <c r="B65" s="38" t="s">
        <v>129</v>
      </c>
      <c r="C65" s="2"/>
    </row>
    <row r="66" customFormat="false" ht="15" hidden="false" customHeight="false" outlineLevel="0" collapsed="false">
      <c r="A66" s="37" t="s">
        <v>130</v>
      </c>
      <c r="B66" s="38" t="s">
        <v>131</v>
      </c>
      <c r="C66" s="2"/>
    </row>
    <row r="67" customFormat="false" ht="15" hidden="false" customHeight="false" outlineLevel="0" collapsed="false">
      <c r="A67" s="37" t="s">
        <v>132</v>
      </c>
      <c r="B67" s="38" t="s">
        <v>133</v>
      </c>
      <c r="C67" s="2"/>
    </row>
    <row r="68" customFormat="false" ht="15" hidden="false" customHeight="false" outlineLevel="0" collapsed="false">
      <c r="A68" s="37" t="s">
        <v>134</v>
      </c>
      <c r="B68" s="38" t="s">
        <v>135</v>
      </c>
      <c r="C68" s="2"/>
    </row>
    <row r="69" customFormat="false" ht="15" hidden="false" customHeight="false" outlineLevel="0" collapsed="false">
      <c r="A69" s="37" t="s">
        <v>136</v>
      </c>
      <c r="B69" s="38" t="s">
        <v>137</v>
      </c>
      <c r="C69" s="2"/>
    </row>
    <row r="70" customFormat="false" ht="15" hidden="false" customHeight="false" outlineLevel="0" collapsed="false">
      <c r="A70" s="37" t="s">
        <v>138</v>
      </c>
      <c r="B70" s="38" t="s">
        <v>139</v>
      </c>
      <c r="C70" s="2"/>
    </row>
    <row r="71" customFormat="false" ht="15" hidden="false" customHeight="false" outlineLevel="0" collapsed="false">
      <c r="A71" s="37" t="s">
        <v>140</v>
      </c>
      <c r="B71" s="38" t="s">
        <v>141</v>
      </c>
      <c r="C71" s="2"/>
    </row>
    <row r="72" customFormat="false" ht="15" hidden="false" customHeight="false" outlineLevel="0" collapsed="false">
      <c r="A72" s="37" t="s">
        <v>142</v>
      </c>
      <c r="B72" s="38" t="s">
        <v>143</v>
      </c>
      <c r="C72" s="2"/>
    </row>
  </sheetData>
  <dataValidations count="1">
    <dataValidation allowBlank="false" errorStyle="stop" operator="between" showDropDown="false" showErrorMessage="false" showInputMessage="false" sqref="B4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2" min="11" style="0" width="12"/>
    <col collapsed="false" customWidth="true" hidden="false" outlineLevel="0" max="15" min="13" style="0" width="9"/>
    <col collapsed="false" customWidth="true" hidden="false" outlineLevel="0" max="16" min="16" style="0" width="7"/>
  </cols>
  <sheetData>
    <row r="1" customFormat="false" ht="17.35" hidden="false" customHeight="false" outlineLevel="0" collapsed="false">
      <c r="A1" s="45" t="s">
        <v>144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24" t="s">
        <v>145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33.75" hidden="false" customHeight="true" outlineLevel="0" collapsed="false">
      <c r="A3" s="6" t="s">
        <v>146</v>
      </c>
      <c r="B3" s="6" t="s">
        <v>147</v>
      </c>
      <c r="C3" s="6" t="s">
        <v>148</v>
      </c>
      <c r="D3" s="6" t="s">
        <v>149</v>
      </c>
      <c r="E3" s="6" t="s">
        <v>150</v>
      </c>
      <c r="F3" s="6" t="s">
        <v>151</v>
      </c>
      <c r="G3" s="6" t="s">
        <v>152</v>
      </c>
      <c r="H3" s="6" t="s">
        <v>153</v>
      </c>
      <c r="I3" s="6" t="s">
        <v>154</v>
      </c>
      <c r="J3" s="6" t="s">
        <v>155</v>
      </c>
      <c r="K3" s="6" t="s">
        <v>156</v>
      </c>
      <c r="L3" s="6" t="s">
        <v>157</v>
      </c>
      <c r="M3" s="6" t="s">
        <v>158</v>
      </c>
      <c r="N3" s="6" t="s">
        <v>159</v>
      </c>
      <c r="O3" s="6" t="s">
        <v>160</v>
      </c>
      <c r="P3" s="6" t="s">
        <v>161</v>
      </c>
    </row>
    <row r="4" customFormat="false" ht="15" hidden="false" customHeight="false" outlineLevel="0" collapsed="false">
      <c r="A4" s="46" t="n">
        <v>1</v>
      </c>
      <c r="B4" s="25" t="s">
        <v>162</v>
      </c>
      <c r="C4" s="26" t="s">
        <v>163</v>
      </c>
      <c r="D4" s="47" t="s">
        <v>164</v>
      </c>
      <c r="E4" s="25" t="s">
        <v>165</v>
      </c>
      <c r="F4" s="48" t="n">
        <f aca="false">8*ROUNDUP(INPUTS!$B$18/3,0)</f>
        <v>16</v>
      </c>
      <c r="G4" s="49"/>
      <c r="H4" s="48" t="n">
        <f aca="false">IF(ISNUMBER(G4),G4,F4)</f>
        <v>16</v>
      </c>
      <c r="I4" s="50" t="n">
        <f aca="false">IF(C4="Manager",INPUTS!$B$31,IF(C4="Coordinator",INPUTS!$B$32,INPUTS!$B$25*INPUTS!$B$31+INPUTS!$B$26*INPUTS!$B$32))</f>
        <v>90</v>
      </c>
      <c r="J4" s="50" t="n">
        <f aca="false">IF(C4="Manager",INPUTS!$B$29,IF(C4="Coordinator",INPUTS!$B$30,INPUTS!$B$25*INPUTS!$B$29+INPUTS!$B$26*INPUTS!$B$30))</f>
        <v>60</v>
      </c>
      <c r="K4" s="51" t="n">
        <f aca="false">IF(D4="Yes",H4*I4,0)</f>
        <v>1440</v>
      </c>
      <c r="L4" s="51" t="n">
        <f aca="false">IF(D4="Yes",H4*J4,0)</f>
        <v>960</v>
      </c>
      <c r="M4" s="52" t="n">
        <v>8</v>
      </c>
      <c r="N4" s="52" t="n">
        <v>16</v>
      </c>
      <c r="O4" s="52" t="n">
        <v>15</v>
      </c>
      <c r="P4" s="53" t="n">
        <f aca="false">IF(D4="Yes",COUNTIF($D$4:D4,"Yes"),"")</f>
        <v>1</v>
      </c>
    </row>
    <row r="5" customFormat="false" ht="15" hidden="false" customHeight="false" outlineLevel="0" collapsed="false">
      <c r="A5" s="46" t="n">
        <v>2</v>
      </c>
      <c r="B5" s="25" t="s">
        <v>166</v>
      </c>
      <c r="C5" s="26" t="s">
        <v>167</v>
      </c>
      <c r="D5" s="47" t="s">
        <v>164</v>
      </c>
      <c r="E5" s="25" t="s">
        <v>168</v>
      </c>
      <c r="F5" s="48" t="n">
        <f aca="false">INPUTS!$B$20</f>
        <v>39</v>
      </c>
      <c r="G5" s="49"/>
      <c r="H5" s="48" t="n">
        <f aca="false">IF(ISNUMBER(G5),G5,F5)</f>
        <v>39</v>
      </c>
      <c r="I5" s="50" t="n">
        <f aca="false">IF(C5="Manager",INPUTS!$B$31,IF(C5="Coordinator",INPUTS!$B$32,INPUTS!$B$25*INPUTS!$B$31+INPUTS!$B$26*INPUTS!$B$32))</f>
        <v>155</v>
      </c>
      <c r="J5" s="50" t="n">
        <f aca="false">IF(C5="Manager",INPUTS!$B$29,IF(C5="Coordinator",INPUTS!$B$30,INPUTS!$B$25*INPUTS!$B$29+INPUTS!$B$26*INPUTS!$B$30))</f>
        <v>102</v>
      </c>
      <c r="K5" s="51" t="n">
        <f aca="false">IF(D5="Yes",H5*I5,0)</f>
        <v>6045</v>
      </c>
      <c r="L5" s="51" t="n">
        <f aca="false">IF(D5="Yes",H5*J5,0)</f>
        <v>3978</v>
      </c>
      <c r="M5" s="52" t="n">
        <v>18</v>
      </c>
      <c r="N5" s="52" t="n">
        <v>36</v>
      </c>
      <c r="O5" s="52" t="n">
        <v>39</v>
      </c>
      <c r="P5" s="53" t="n">
        <f aca="false">IF(D5="Yes",COUNTIF($D$4:D5,"Yes"),"")</f>
        <v>2</v>
      </c>
    </row>
    <row r="6" customFormat="false" ht="15" hidden="false" customHeight="false" outlineLevel="0" collapsed="false">
      <c r="A6" s="46" t="n">
        <v>3</v>
      </c>
      <c r="B6" s="25" t="s">
        <v>169</v>
      </c>
      <c r="C6" s="26" t="s">
        <v>170</v>
      </c>
      <c r="D6" s="47" t="s">
        <v>164</v>
      </c>
      <c r="E6" s="25" t="s">
        <v>168</v>
      </c>
      <c r="F6" s="48" t="n">
        <f aca="false">INPUTS!$B$20</f>
        <v>39</v>
      </c>
      <c r="G6" s="49"/>
      <c r="H6" s="48" t="n">
        <f aca="false">IF(ISNUMBER(G6),G6,F6)</f>
        <v>39</v>
      </c>
      <c r="I6" s="50" t="n">
        <f aca="false">IF(C6="Manager",INPUTS!$B$31,IF(C6="Coordinator",INPUTS!$B$32,INPUTS!$B$25*INPUTS!$B$31+INPUTS!$B$26*INPUTS!$B$32))</f>
        <v>65</v>
      </c>
      <c r="J6" s="50" t="n">
        <f aca="false">IF(C6="Manager",INPUTS!$B$29,IF(C6="Coordinator",INPUTS!$B$30,INPUTS!$B$25*INPUTS!$B$29+INPUTS!$B$26*INPUTS!$B$30))</f>
        <v>42</v>
      </c>
      <c r="K6" s="51" t="n">
        <f aca="false">IF(D6="Yes",H6*I6,0)</f>
        <v>2535</v>
      </c>
      <c r="L6" s="51" t="n">
        <f aca="false">IF(D6="Yes",H6*J6,0)</f>
        <v>1638</v>
      </c>
      <c r="M6" s="52" t="n">
        <v>15</v>
      </c>
      <c r="N6" s="52" t="n">
        <v>36</v>
      </c>
      <c r="O6" s="52" t="n">
        <v>39</v>
      </c>
      <c r="P6" s="53" t="n">
        <f aca="false">IF(D6="Yes",COUNTIF($D$4:D6,"Yes"),"")</f>
        <v>3</v>
      </c>
    </row>
    <row r="7" customFormat="false" ht="15" hidden="false" customHeight="false" outlineLevel="0" collapsed="false">
      <c r="A7" s="46" t="n">
        <v>4</v>
      </c>
      <c r="B7" s="25" t="s">
        <v>171</v>
      </c>
      <c r="C7" s="26" t="s">
        <v>163</v>
      </c>
      <c r="D7" s="47" t="s">
        <v>164</v>
      </c>
      <c r="E7" s="25" t="s">
        <v>168</v>
      </c>
      <c r="F7" s="48" t="n">
        <f aca="false">INPUTS!$B$20</f>
        <v>39</v>
      </c>
      <c r="G7" s="49"/>
      <c r="H7" s="48" t="n">
        <f aca="false">IF(ISNUMBER(G7),G7,F7)</f>
        <v>39</v>
      </c>
      <c r="I7" s="50" t="n">
        <f aca="false">IF(C7="Manager",INPUTS!$B$31,IF(C7="Coordinator",INPUTS!$B$32,INPUTS!$B$25*INPUTS!$B$31+INPUTS!$B$26*INPUTS!$B$32))</f>
        <v>90</v>
      </c>
      <c r="J7" s="50" t="n">
        <f aca="false">IF(C7="Manager",INPUTS!$B$29,IF(C7="Coordinator",INPUTS!$B$30,INPUTS!$B$25*INPUTS!$B$29+INPUTS!$B$26*INPUTS!$B$30))</f>
        <v>60</v>
      </c>
      <c r="K7" s="51" t="n">
        <f aca="false">IF(D7="Yes",H7*I7,0)</f>
        <v>3510</v>
      </c>
      <c r="L7" s="51" t="n">
        <f aca="false">IF(D7="Yes",H7*J7,0)</f>
        <v>2340</v>
      </c>
      <c r="M7" s="52" t="n">
        <v>15</v>
      </c>
      <c r="N7" s="52" t="n">
        <v>36</v>
      </c>
      <c r="O7" s="52" t="n">
        <v>39</v>
      </c>
      <c r="P7" s="53" t="n">
        <f aca="false">IF(D7="Yes",COUNTIF($D$4:D7,"Yes"),"")</f>
        <v>4</v>
      </c>
    </row>
    <row r="8" customFormat="false" ht="15" hidden="false" customHeight="false" outlineLevel="0" collapsed="false">
      <c r="A8" s="46" t="n">
        <v>5</v>
      </c>
      <c r="B8" s="25" t="s">
        <v>172</v>
      </c>
      <c r="C8" s="26" t="s">
        <v>163</v>
      </c>
      <c r="D8" s="47" t="s">
        <v>164</v>
      </c>
      <c r="E8" s="25" t="s">
        <v>173</v>
      </c>
      <c r="F8" s="48" t="n">
        <f aca="false">ROUND(MEDIAN(20,0.05*INPUTS!$B$8,75),0)</f>
        <v>25</v>
      </c>
      <c r="G8" s="49"/>
      <c r="H8" s="48" t="n">
        <f aca="false">IF(ISNUMBER(G8),G8,F8)</f>
        <v>25</v>
      </c>
      <c r="I8" s="50" t="n">
        <f aca="false">IF(C8="Manager",INPUTS!$B$31,IF(C8="Coordinator",INPUTS!$B$32,INPUTS!$B$25*INPUTS!$B$31+INPUTS!$B$26*INPUTS!$B$32))</f>
        <v>90</v>
      </c>
      <c r="J8" s="50" t="n">
        <f aca="false">IF(C8="Manager",INPUTS!$B$29,IF(C8="Coordinator",INPUTS!$B$30,INPUTS!$B$25*INPUTS!$B$29+INPUTS!$B$26*INPUTS!$B$30))</f>
        <v>60</v>
      </c>
      <c r="K8" s="51" t="n">
        <f aca="false">IF(D8="Yes",H8*I8,0)</f>
        <v>2250</v>
      </c>
      <c r="L8" s="51" t="n">
        <f aca="false">IF(D8="Yes",H8*J8,0)</f>
        <v>1500</v>
      </c>
      <c r="M8" s="52" t="n">
        <v>20</v>
      </c>
      <c r="N8" s="52" t="n">
        <v>35</v>
      </c>
      <c r="O8" s="52" t="n">
        <v>70</v>
      </c>
      <c r="P8" s="53" t="n">
        <f aca="false">IF(D8="Yes",COUNTIF($D$4:D8,"Yes"),"")</f>
        <v>5</v>
      </c>
    </row>
    <row r="9" customFormat="false" ht="15" hidden="false" customHeight="false" outlineLevel="0" collapsed="false">
      <c r="A9" s="46" t="n">
        <v>6</v>
      </c>
      <c r="B9" s="25" t="s">
        <v>174</v>
      </c>
      <c r="C9" s="26" t="s">
        <v>163</v>
      </c>
      <c r="D9" s="47" t="s">
        <v>164</v>
      </c>
      <c r="E9" s="25" t="s">
        <v>175</v>
      </c>
      <c r="F9" s="48" t="n">
        <f aca="false">ROUND(MEDIAN(18,0.05*INPUTS!$B$8,55),0)</f>
        <v>25</v>
      </c>
      <c r="G9" s="49"/>
      <c r="H9" s="48" t="n">
        <f aca="false">IF(ISNUMBER(G9),G9,F9)</f>
        <v>25</v>
      </c>
      <c r="I9" s="50" t="n">
        <f aca="false">IF(C9="Manager",INPUTS!$B$31,IF(C9="Coordinator",INPUTS!$B$32,INPUTS!$B$25*INPUTS!$B$31+INPUTS!$B$26*INPUTS!$B$32))</f>
        <v>90</v>
      </c>
      <c r="J9" s="50" t="n">
        <f aca="false">IF(C9="Manager",INPUTS!$B$29,IF(C9="Coordinator",INPUTS!$B$30,INPUTS!$B$25*INPUTS!$B$29+INPUTS!$B$26*INPUTS!$B$30))</f>
        <v>60</v>
      </c>
      <c r="K9" s="51" t="n">
        <f aca="false">IF(D9="Yes",H9*I9,0)</f>
        <v>2250</v>
      </c>
      <c r="L9" s="51" t="n">
        <f aca="false">IF(D9="Yes",H9*J9,0)</f>
        <v>1500</v>
      </c>
      <c r="M9" s="52" t="n">
        <v>18</v>
      </c>
      <c r="N9" s="52" t="n">
        <v>25</v>
      </c>
      <c r="O9" s="52" t="n">
        <v>50</v>
      </c>
      <c r="P9" s="53" t="n">
        <f aca="false">IF(D9="Yes",COUNTIF($D$4:D9,"Yes"),"")</f>
        <v>6</v>
      </c>
    </row>
    <row r="10" customFormat="false" ht="15" hidden="false" customHeight="false" outlineLevel="0" collapsed="false">
      <c r="A10" s="46" t="n">
        <v>7</v>
      </c>
      <c r="B10" s="25" t="s">
        <v>176</v>
      </c>
      <c r="C10" s="26" t="s">
        <v>170</v>
      </c>
      <c r="D10" s="47" t="s">
        <v>99</v>
      </c>
      <c r="E10" s="25" t="s">
        <v>177</v>
      </c>
      <c r="F10" s="48" t="n">
        <f aca="false">ROUND(MEDIAN(16,0.03*INPUTS!$B$8,40),0)</f>
        <v>16</v>
      </c>
      <c r="G10" s="49"/>
      <c r="H10" s="48" t="n">
        <f aca="false">IF(ISNUMBER(G10),G10,F10)</f>
        <v>16</v>
      </c>
      <c r="I10" s="50" t="n">
        <f aca="false">IF(C10="Manager",INPUTS!$B$31,IF(C10="Coordinator",INPUTS!$B$32,INPUTS!$B$25*INPUTS!$B$31+INPUTS!$B$26*INPUTS!$B$32))</f>
        <v>65</v>
      </c>
      <c r="J10" s="50" t="n">
        <f aca="false">IF(C10="Manager",INPUTS!$B$29,IF(C10="Coordinator",INPUTS!$B$30,INPUTS!$B$25*INPUTS!$B$29+INPUTS!$B$26*INPUTS!$B$30))</f>
        <v>42</v>
      </c>
      <c r="K10" s="51" t="n">
        <f aca="false">IF(D10="Yes",H10*I10,0)</f>
        <v>0</v>
      </c>
      <c r="L10" s="51" t="n">
        <f aca="false">IF(D10="Yes",H10*J10,0)</f>
        <v>0</v>
      </c>
      <c r="M10" s="52" t="n">
        <v>16</v>
      </c>
      <c r="N10" s="52"/>
      <c r="O10" s="52"/>
      <c r="P10" s="53" t="str">
        <f aca="false">IF(D10="Yes",COUNTIF($D$4:D10,"Yes"),"")</f>
        <v/>
      </c>
    </row>
    <row r="11" customFormat="false" ht="15" hidden="false" customHeight="false" outlineLevel="0" collapsed="false">
      <c r="A11" s="46" t="n">
        <v>8</v>
      </c>
      <c r="B11" s="25" t="s">
        <v>178</v>
      </c>
      <c r="C11" s="26" t="s">
        <v>170</v>
      </c>
      <c r="D11" s="47" t="s">
        <v>164</v>
      </c>
      <c r="E11" s="25" t="s">
        <v>179</v>
      </c>
      <c r="F11" s="48" t="n">
        <f aca="false">ROUND(MEDIAN(30,0.06*INPUTS!$B$8,150),0)</f>
        <v>30</v>
      </c>
      <c r="G11" s="49"/>
      <c r="H11" s="48" t="n">
        <f aca="false">IF(ISNUMBER(G11),G11,F11)</f>
        <v>30</v>
      </c>
      <c r="I11" s="50" t="n">
        <f aca="false">IF(C11="Manager",INPUTS!$B$31,IF(C11="Coordinator",INPUTS!$B$32,INPUTS!$B$25*INPUTS!$B$31+INPUTS!$B$26*INPUTS!$B$32))</f>
        <v>65</v>
      </c>
      <c r="J11" s="50" t="n">
        <f aca="false">IF(C11="Manager",INPUTS!$B$29,IF(C11="Coordinator",INPUTS!$B$30,INPUTS!$B$25*INPUTS!$B$29+INPUTS!$B$26*INPUTS!$B$30))</f>
        <v>42</v>
      </c>
      <c r="K11" s="51" t="n">
        <f aca="false">IF(D11="Yes",H11*I11,0)</f>
        <v>1950</v>
      </c>
      <c r="L11" s="51" t="n">
        <f aca="false">IF(D11="Yes",H11*J11,0)</f>
        <v>1260</v>
      </c>
      <c r="M11" s="52"/>
      <c r="N11" s="52" t="n">
        <v>30</v>
      </c>
      <c r="O11" s="52" t="n">
        <v>90</v>
      </c>
      <c r="P11" s="53" t="n">
        <f aca="false">IF(D11="Yes",COUNTIF($D$4:D11,"Yes"),"")</f>
        <v>7</v>
      </c>
    </row>
    <row r="12" customFormat="false" ht="15" hidden="false" customHeight="false" outlineLevel="0" collapsed="false">
      <c r="A12" s="46" t="n">
        <v>9</v>
      </c>
      <c r="B12" s="25" t="s">
        <v>180</v>
      </c>
      <c r="C12" s="26" t="s">
        <v>163</v>
      </c>
      <c r="D12" s="47" t="s">
        <v>164</v>
      </c>
      <c r="E12" s="25" t="s">
        <v>181</v>
      </c>
      <c r="F12" s="48" t="n">
        <f aca="false">ROUND(MEDIAN(18,0.03*INPUTS!$B$8,45),0)</f>
        <v>18</v>
      </c>
      <c r="G12" s="49"/>
      <c r="H12" s="48" t="n">
        <f aca="false">IF(ISNUMBER(G12),G12,F12)</f>
        <v>18</v>
      </c>
      <c r="I12" s="50" t="n">
        <f aca="false">IF(C12="Manager",INPUTS!$B$31,IF(C12="Coordinator",INPUTS!$B$32,INPUTS!$B$25*INPUTS!$B$31+INPUTS!$B$26*INPUTS!$B$32))</f>
        <v>90</v>
      </c>
      <c r="J12" s="50" t="n">
        <f aca="false">IF(C12="Manager",INPUTS!$B$29,IF(C12="Coordinator",INPUTS!$B$30,INPUTS!$B$25*INPUTS!$B$29+INPUTS!$B$26*INPUTS!$B$30))</f>
        <v>60</v>
      </c>
      <c r="K12" s="51" t="n">
        <f aca="false">IF(D12="Yes",H12*I12,0)</f>
        <v>1620</v>
      </c>
      <c r="L12" s="51" t="n">
        <f aca="false">IF(D12="Yes",H12*J12,0)</f>
        <v>1080</v>
      </c>
      <c r="M12" s="52" t="n">
        <v>18</v>
      </c>
      <c r="N12" s="52"/>
      <c r="O12" s="52" t="n">
        <v>45</v>
      </c>
      <c r="P12" s="53" t="n">
        <f aca="false">IF(D12="Yes",COUNTIF($D$4:D12,"Yes"),"")</f>
        <v>8</v>
      </c>
    </row>
    <row r="13" customFormat="false" ht="15" hidden="false" customHeight="false" outlineLevel="0" collapsed="false">
      <c r="A13" s="46" t="n">
        <v>10</v>
      </c>
      <c r="B13" s="25" t="s">
        <v>182</v>
      </c>
      <c r="C13" s="26" t="s">
        <v>170</v>
      </c>
      <c r="D13" s="47" t="s">
        <v>99</v>
      </c>
      <c r="E13" s="25" t="s">
        <v>183</v>
      </c>
      <c r="F13" s="48" t="n">
        <f aca="false">ROUND(MEDIAN(20,0.035*INPUTS!$B$8,50),0)</f>
        <v>20</v>
      </c>
      <c r="G13" s="49"/>
      <c r="H13" s="48" t="n">
        <f aca="false">IF(ISNUMBER(G13),G13,F13)</f>
        <v>20</v>
      </c>
      <c r="I13" s="50" t="n">
        <f aca="false">IF(C13="Manager",INPUTS!$B$31,IF(C13="Coordinator",INPUTS!$B$32,INPUTS!$B$25*INPUTS!$B$31+INPUTS!$B$26*INPUTS!$B$32))</f>
        <v>65</v>
      </c>
      <c r="J13" s="50" t="n">
        <f aca="false">IF(C13="Manager",INPUTS!$B$29,IF(C13="Coordinator",INPUTS!$B$30,INPUTS!$B$25*INPUTS!$B$29+INPUTS!$B$26*INPUTS!$B$30))</f>
        <v>42</v>
      </c>
      <c r="K13" s="51" t="n">
        <f aca="false">IF(D13="Yes",H13*I13,0)</f>
        <v>0</v>
      </c>
      <c r="L13" s="51" t="n">
        <f aca="false">IF(D13="Yes",H13*J13,0)</f>
        <v>0</v>
      </c>
      <c r="M13" s="52"/>
      <c r="N13" s="52"/>
      <c r="O13" s="52" t="n">
        <v>50</v>
      </c>
      <c r="P13" s="53" t="str">
        <f aca="false">IF(D13="Yes",COUNTIF($D$4:D13,"Yes"),"")</f>
        <v/>
      </c>
    </row>
    <row r="14" customFormat="false" ht="15" hidden="false" customHeight="false" outlineLevel="0" collapsed="false">
      <c r="A14" s="46" t="n">
        <v>11</v>
      </c>
      <c r="B14" s="25" t="s">
        <v>184</v>
      </c>
      <c r="C14" s="26" t="s">
        <v>163</v>
      </c>
      <c r="D14" s="47" t="s">
        <v>164</v>
      </c>
      <c r="E14" s="25" t="s">
        <v>185</v>
      </c>
      <c r="F14" s="48" t="n">
        <f aca="false">ROUND(MEDIAN(12,0.05*INPUTS!$B$8,65),0)</f>
        <v>25</v>
      </c>
      <c r="G14" s="49"/>
      <c r="H14" s="48" t="n">
        <f aca="false">IF(ISNUMBER(G14),G14,F14)</f>
        <v>25</v>
      </c>
      <c r="I14" s="50" t="n">
        <f aca="false">IF(C14="Manager",INPUTS!$B$31,IF(C14="Coordinator",INPUTS!$B$32,INPUTS!$B$25*INPUTS!$B$31+INPUTS!$B$26*INPUTS!$B$32))</f>
        <v>90</v>
      </c>
      <c r="J14" s="50" t="n">
        <f aca="false">IF(C14="Manager",INPUTS!$B$29,IF(C14="Coordinator",INPUTS!$B$30,INPUTS!$B$25*INPUTS!$B$29+INPUTS!$B$26*INPUTS!$B$30))</f>
        <v>60</v>
      </c>
      <c r="K14" s="51" t="n">
        <f aca="false">IF(D14="Yes",H14*I14,0)</f>
        <v>2250</v>
      </c>
      <c r="L14" s="51" t="n">
        <f aca="false">IF(D14="Yes",H14*J14,0)</f>
        <v>1500</v>
      </c>
      <c r="M14" s="52" t="n">
        <v>12</v>
      </c>
      <c r="N14" s="52" t="n">
        <v>65</v>
      </c>
      <c r="O14" s="52" t="n">
        <v>65</v>
      </c>
      <c r="P14" s="53" t="n">
        <f aca="false">IF(D14="Yes",COUNTIF($D$4:D14,"Yes"),"")</f>
        <v>9</v>
      </c>
    </row>
    <row r="15" customFormat="false" ht="15" hidden="false" customHeight="false" outlineLevel="0" collapsed="false">
      <c r="A15" s="46" t="n">
        <v>12</v>
      </c>
      <c r="B15" s="25" t="s">
        <v>186</v>
      </c>
      <c r="C15" s="26" t="s">
        <v>163</v>
      </c>
      <c r="D15" s="47" t="s">
        <v>164</v>
      </c>
      <c r="E15" s="25" t="s">
        <v>187</v>
      </c>
      <c r="F15" s="48" t="n">
        <f aca="false">INPUTS!$B$9*1</f>
        <v>60</v>
      </c>
      <c r="G15" s="49"/>
      <c r="H15" s="48" t="n">
        <f aca="false">IF(ISNUMBER(G15),G15,F15)</f>
        <v>60</v>
      </c>
      <c r="I15" s="50" t="n">
        <f aca="false">IF(C15="Manager",INPUTS!$B$31,IF(C15="Coordinator",INPUTS!$B$32,INPUTS!$B$25*INPUTS!$B$31+INPUTS!$B$26*INPUTS!$B$32))</f>
        <v>90</v>
      </c>
      <c r="J15" s="50" t="n">
        <f aca="false">IF(C15="Manager",INPUTS!$B$29,IF(C15="Coordinator",INPUTS!$B$30,INPUTS!$B$25*INPUTS!$B$29+INPUTS!$B$26*INPUTS!$B$30))</f>
        <v>60</v>
      </c>
      <c r="K15" s="51" t="n">
        <f aca="false">IF(D15="Yes",H15*I15,0)</f>
        <v>5400</v>
      </c>
      <c r="L15" s="51" t="n">
        <f aca="false">IF(D15="Yes",H15*J15,0)</f>
        <v>3600</v>
      </c>
      <c r="M15" s="52" t="n">
        <v>35</v>
      </c>
      <c r="N15" s="52" t="n">
        <v>65</v>
      </c>
      <c r="O15" s="52" t="n">
        <v>200</v>
      </c>
      <c r="P15" s="53" t="n">
        <f aca="false">IF(D15="Yes",COUNTIF($D$4:D15,"Yes"),"")</f>
        <v>10</v>
      </c>
    </row>
    <row r="16" customFormat="false" ht="15" hidden="false" customHeight="false" outlineLevel="0" collapsed="false">
      <c r="A16" s="46" t="n">
        <v>13</v>
      </c>
      <c r="B16" s="25" t="s">
        <v>188</v>
      </c>
      <c r="C16" s="26" t="s">
        <v>170</v>
      </c>
      <c r="D16" s="47" t="s">
        <v>164</v>
      </c>
      <c r="E16" s="25" t="s">
        <v>189</v>
      </c>
      <c r="F16" s="48" t="n">
        <f aca="false">ROUND(MAX(15,INPUTS!$B$10*1.5),0)</f>
        <v>30</v>
      </c>
      <c r="G16" s="49"/>
      <c r="H16" s="48" t="n">
        <f aca="false">IF(ISNUMBER(G16),G16,F16)</f>
        <v>30</v>
      </c>
      <c r="I16" s="50" t="n">
        <f aca="false">IF(C16="Manager",INPUTS!$B$31,IF(C16="Coordinator",INPUTS!$B$32,INPUTS!$B$25*INPUTS!$B$31+INPUTS!$B$26*INPUTS!$B$32))</f>
        <v>65</v>
      </c>
      <c r="J16" s="50" t="n">
        <f aca="false">IF(C16="Manager",INPUTS!$B$29,IF(C16="Coordinator",INPUTS!$B$30,INPUTS!$B$25*INPUTS!$B$29+INPUTS!$B$26*INPUTS!$B$30))</f>
        <v>42</v>
      </c>
      <c r="K16" s="51" t="n">
        <f aca="false">IF(D16="Yes",H16*I16,0)</f>
        <v>1950</v>
      </c>
      <c r="L16" s="51" t="n">
        <f aca="false">IF(D16="Yes",H16*J16,0)</f>
        <v>1260</v>
      </c>
      <c r="M16" s="52"/>
      <c r="N16" s="52" t="n">
        <v>30</v>
      </c>
      <c r="O16" s="52" t="n">
        <v>75</v>
      </c>
      <c r="P16" s="53" t="n">
        <f aca="false">IF(D16="Yes",COUNTIF($D$4:D16,"Yes"),"")</f>
        <v>11</v>
      </c>
    </row>
    <row r="17" customFormat="false" ht="15" hidden="false" customHeight="false" outlineLevel="0" collapsed="false">
      <c r="A17" s="46" t="n">
        <v>14</v>
      </c>
      <c r="B17" s="25" t="s">
        <v>190</v>
      </c>
      <c r="C17" s="26" t="s">
        <v>170</v>
      </c>
      <c r="D17" s="47" t="s">
        <v>99</v>
      </c>
      <c r="E17" s="25" t="s">
        <v>191</v>
      </c>
      <c r="F17" s="48" t="n">
        <f aca="false">ROUND(MAX(10,INPUTS!$B$11*1),0)</f>
        <v>15</v>
      </c>
      <c r="G17" s="49"/>
      <c r="H17" s="48" t="n">
        <f aca="false">IF(ISNUMBER(G17),G17,F17)</f>
        <v>15</v>
      </c>
      <c r="I17" s="50" t="n">
        <f aca="false">IF(C17="Manager",INPUTS!$B$31,IF(C17="Coordinator",INPUTS!$B$32,INPUTS!$B$25*INPUTS!$B$31+INPUTS!$B$26*INPUTS!$B$32))</f>
        <v>65</v>
      </c>
      <c r="J17" s="50" t="n">
        <f aca="false">IF(C17="Manager",INPUTS!$B$29,IF(C17="Coordinator",INPUTS!$B$30,INPUTS!$B$25*INPUTS!$B$29+INPUTS!$B$26*INPUTS!$B$30))</f>
        <v>42</v>
      </c>
      <c r="K17" s="51" t="n">
        <f aca="false">IF(D17="Yes",H17*I17,0)</f>
        <v>0</v>
      </c>
      <c r="L17" s="51" t="n">
        <f aca="false">IF(D17="Yes",H17*J17,0)</f>
        <v>0</v>
      </c>
      <c r="M17" s="52" t="n">
        <v>25</v>
      </c>
      <c r="N17" s="52"/>
      <c r="O17" s="52"/>
      <c r="P17" s="53" t="str">
        <f aca="false">IF(D17="Yes",COUNTIF($D$4:D17,"Yes"),"")</f>
        <v/>
      </c>
    </row>
    <row r="18" customFormat="false" ht="15" hidden="false" customHeight="false" outlineLevel="0" collapsed="false">
      <c r="A18" s="46" t="n">
        <v>15</v>
      </c>
      <c r="B18" s="25" t="s">
        <v>192</v>
      </c>
      <c r="C18" s="26" t="s">
        <v>170</v>
      </c>
      <c r="D18" s="47" t="s">
        <v>164</v>
      </c>
      <c r="E18" s="25" t="s">
        <v>193</v>
      </c>
      <c r="F18" s="48" t="n">
        <f aca="false">ROUND(MEDIAN(25,INPUTS!$B$12*5,50),0)</f>
        <v>30</v>
      </c>
      <c r="G18" s="49"/>
      <c r="H18" s="48" t="n">
        <f aca="false">IF(ISNUMBER(G18),G18,F18)</f>
        <v>30</v>
      </c>
      <c r="I18" s="50" t="n">
        <f aca="false">IF(C18="Manager",INPUTS!$B$31,IF(C18="Coordinator",INPUTS!$B$32,INPUTS!$B$25*INPUTS!$B$31+INPUTS!$B$26*INPUTS!$B$32))</f>
        <v>65</v>
      </c>
      <c r="J18" s="50" t="n">
        <f aca="false">IF(C18="Manager",INPUTS!$B$29,IF(C18="Coordinator",INPUTS!$B$30,INPUTS!$B$25*INPUTS!$B$29+INPUTS!$B$26*INPUTS!$B$30))</f>
        <v>42</v>
      </c>
      <c r="K18" s="51" t="n">
        <f aca="false">IF(D18="Yes",H18*I18,0)</f>
        <v>1950</v>
      </c>
      <c r="L18" s="51" t="n">
        <f aca="false">IF(D18="Yes",H18*J18,0)</f>
        <v>1260</v>
      </c>
      <c r="M18" s="52" t="n">
        <v>30</v>
      </c>
      <c r="N18" s="52" t="n">
        <v>25</v>
      </c>
      <c r="O18" s="52" t="n">
        <v>50</v>
      </c>
      <c r="P18" s="53" t="n">
        <f aca="false">IF(D18="Yes",COUNTIF($D$4:D18,"Yes"),"")</f>
        <v>12</v>
      </c>
    </row>
    <row r="19" customFormat="false" ht="15" hidden="false" customHeight="false" outlineLevel="0" collapsed="false">
      <c r="A19" s="46" t="n">
        <v>16</v>
      </c>
      <c r="B19" s="25" t="s">
        <v>194</v>
      </c>
      <c r="C19" s="26" t="s">
        <v>163</v>
      </c>
      <c r="D19" s="47" t="s">
        <v>164</v>
      </c>
      <c r="E19" s="25" t="s">
        <v>195</v>
      </c>
      <c r="F19" s="48" t="n">
        <f aca="false">INPUTS!$B$19*2</f>
        <v>18</v>
      </c>
      <c r="G19" s="49"/>
      <c r="H19" s="48" t="n">
        <f aca="false">IF(ISNUMBER(G19),G19,F19)</f>
        <v>18</v>
      </c>
      <c r="I19" s="50" t="n">
        <f aca="false">IF(C19="Manager",INPUTS!$B$31,IF(C19="Coordinator",INPUTS!$B$32,INPUTS!$B$25*INPUTS!$B$31+INPUTS!$B$26*INPUTS!$B$32))</f>
        <v>90</v>
      </c>
      <c r="J19" s="50" t="n">
        <f aca="false">IF(C19="Manager",INPUTS!$B$29,IF(C19="Coordinator",INPUTS!$B$30,INPUTS!$B$25*INPUTS!$B$29+INPUTS!$B$26*INPUTS!$B$30))</f>
        <v>60</v>
      </c>
      <c r="K19" s="51" t="n">
        <f aca="false">IF(D19="Yes",H19*I19,0)</f>
        <v>1620</v>
      </c>
      <c r="L19" s="51" t="n">
        <f aca="false">IF(D19="Yes",H19*J19,0)</f>
        <v>1080</v>
      </c>
      <c r="M19" s="52"/>
      <c r="N19" s="52" t="n">
        <v>18</v>
      </c>
      <c r="O19" s="52"/>
      <c r="P19" s="53" t="n">
        <f aca="false">IF(D19="Yes",COUNTIF($D$4:D19,"Yes"),"")</f>
        <v>13</v>
      </c>
    </row>
    <row r="20" customFormat="false" ht="15" hidden="false" customHeight="false" outlineLevel="0" collapsed="false">
      <c r="A20" s="46" t="n">
        <v>17</v>
      </c>
      <c r="B20" s="25" t="s">
        <v>196</v>
      </c>
      <c r="C20" s="26" t="s">
        <v>163</v>
      </c>
      <c r="D20" s="47" t="s">
        <v>99</v>
      </c>
      <c r="E20" s="25" t="s">
        <v>197</v>
      </c>
      <c r="F20" s="48" t="n">
        <f aca="false">ROUND(MEDIAN(30,INPUTS!$B$19*6,60),0)</f>
        <v>54</v>
      </c>
      <c r="G20" s="49"/>
      <c r="H20" s="48" t="n">
        <f aca="false">IF(ISNUMBER(G20),G20,F20)</f>
        <v>54</v>
      </c>
      <c r="I20" s="50" t="n">
        <f aca="false">IF(C20="Manager",INPUTS!$B$31,IF(C20="Coordinator",INPUTS!$B$32,INPUTS!$B$25*INPUTS!$B$31+INPUTS!$B$26*INPUTS!$B$32))</f>
        <v>90</v>
      </c>
      <c r="J20" s="50" t="n">
        <f aca="false">IF(C20="Manager",INPUTS!$B$29,IF(C20="Coordinator",INPUTS!$B$30,INPUTS!$B$25*INPUTS!$B$29+INPUTS!$B$26*INPUTS!$B$30))</f>
        <v>60</v>
      </c>
      <c r="K20" s="51" t="n">
        <f aca="false">IF(D20="Yes",H20*I20,0)</f>
        <v>0</v>
      </c>
      <c r="L20" s="51" t="n">
        <f aca="false">IF(D20="Yes",H20*J20,0)</f>
        <v>0</v>
      </c>
      <c r="M20" s="52"/>
      <c r="N20" s="52"/>
      <c r="O20" s="52" t="n">
        <v>60</v>
      </c>
      <c r="P20" s="53" t="str">
        <f aca="false">IF(D20="Yes",COUNTIF($D$4:D20,"Yes"),"")</f>
        <v/>
      </c>
    </row>
    <row r="21" customFormat="false" ht="15" hidden="false" customHeight="false" outlineLevel="0" collapsed="false">
      <c r="A21" s="46" t="n">
        <v>18</v>
      </c>
      <c r="B21" s="25" t="s">
        <v>198</v>
      </c>
      <c r="C21" s="26" t="s">
        <v>163</v>
      </c>
      <c r="D21" s="47" t="s">
        <v>164</v>
      </c>
      <c r="E21" s="25" t="s">
        <v>199</v>
      </c>
      <c r="F21" s="48" t="n">
        <f aca="false">MIN(15,10+INPUTS!$B$15)</f>
        <v>13</v>
      </c>
      <c r="G21" s="49"/>
      <c r="H21" s="48" t="n">
        <f aca="false">IF(ISNUMBER(G21),G21,F21)</f>
        <v>13</v>
      </c>
      <c r="I21" s="50" t="n">
        <f aca="false">IF(C21="Manager",INPUTS!$B$31,IF(C21="Coordinator",INPUTS!$B$32,INPUTS!$B$25*INPUTS!$B$31+INPUTS!$B$26*INPUTS!$B$32))</f>
        <v>90</v>
      </c>
      <c r="J21" s="50" t="n">
        <f aca="false">IF(C21="Manager",INPUTS!$B$29,IF(C21="Coordinator",INPUTS!$B$30,INPUTS!$B$25*INPUTS!$B$29+INPUTS!$B$26*INPUTS!$B$30))</f>
        <v>60</v>
      </c>
      <c r="K21" s="51" t="n">
        <f aca="false">IF(D21="Yes",H21*I21,0)</f>
        <v>1170</v>
      </c>
      <c r="L21" s="51" t="n">
        <f aca="false">IF(D21="Yes",H21*J21,0)</f>
        <v>780</v>
      </c>
      <c r="M21" s="52" t="n">
        <v>10</v>
      </c>
      <c r="N21" s="52"/>
      <c r="O21" s="52" t="n">
        <v>15</v>
      </c>
      <c r="P21" s="53" t="n">
        <f aca="false">IF(D21="Yes",COUNTIF($D$4:D21,"Yes"),"")</f>
        <v>14</v>
      </c>
    </row>
    <row r="22" customFormat="false" ht="15" hidden="false" customHeight="false" outlineLevel="0" collapsed="false">
      <c r="A22" s="46" t="n">
        <v>19</v>
      </c>
      <c r="B22" s="25" t="s">
        <v>200</v>
      </c>
      <c r="C22" s="26" t="s">
        <v>170</v>
      </c>
      <c r="D22" s="47" t="s">
        <v>99</v>
      </c>
      <c r="E22" s="25" t="s">
        <v>201</v>
      </c>
      <c r="F22" s="48" t="n">
        <f aca="false">ROUND(MEDIAN(15,INPUTS!$B$19*3,50),0)</f>
        <v>27</v>
      </c>
      <c r="G22" s="49"/>
      <c r="H22" s="48" t="n">
        <f aca="false">IF(ISNUMBER(G22),G22,F22)</f>
        <v>27</v>
      </c>
      <c r="I22" s="50" t="n">
        <f aca="false">IF(C22="Manager",INPUTS!$B$31,IF(C22="Coordinator",INPUTS!$B$32,INPUTS!$B$25*INPUTS!$B$31+INPUTS!$B$26*INPUTS!$B$32))</f>
        <v>65</v>
      </c>
      <c r="J22" s="50" t="n">
        <f aca="false">IF(C22="Manager",INPUTS!$B$29,IF(C22="Coordinator",INPUTS!$B$30,INPUTS!$B$25*INPUTS!$B$29+INPUTS!$B$26*INPUTS!$B$30))</f>
        <v>42</v>
      </c>
      <c r="K22" s="51" t="n">
        <f aca="false">IF(D22="Yes",H22*I22,0)</f>
        <v>0</v>
      </c>
      <c r="L22" s="51" t="n">
        <f aca="false">IF(D22="Yes",H22*J22,0)</f>
        <v>0</v>
      </c>
      <c r="M22" s="52" t="n">
        <v>15</v>
      </c>
      <c r="N22" s="52"/>
      <c r="O22" s="52" t="n">
        <v>50</v>
      </c>
      <c r="P22" s="53" t="str">
        <f aca="false">IF(D22="Yes",COUNTIF($D$4:D22,"Yes"),"")</f>
        <v/>
      </c>
    </row>
    <row r="23" customFormat="false" ht="15" hidden="false" customHeight="false" outlineLevel="0" collapsed="false">
      <c r="A23" s="46" t="n">
        <v>20</v>
      </c>
      <c r="B23" s="25" t="s">
        <v>202</v>
      </c>
      <c r="C23" s="26" t="s">
        <v>163</v>
      </c>
      <c r="D23" s="47" t="s">
        <v>164</v>
      </c>
      <c r="E23" s="25" t="s">
        <v>165</v>
      </c>
      <c r="F23" s="48" t="n">
        <f aca="false">8*ROUNDUP(INPUTS!$B$18/3,0)</f>
        <v>16</v>
      </c>
      <c r="G23" s="49"/>
      <c r="H23" s="48" t="n">
        <f aca="false">IF(ISNUMBER(G23),G23,F23)</f>
        <v>16</v>
      </c>
      <c r="I23" s="50" t="n">
        <f aca="false">IF(C23="Manager",INPUTS!$B$31,IF(C23="Coordinator",INPUTS!$B$32,INPUTS!$B$25*INPUTS!$B$31+INPUTS!$B$26*INPUTS!$B$32))</f>
        <v>90</v>
      </c>
      <c r="J23" s="50" t="n">
        <f aca="false">IF(C23="Manager",INPUTS!$B$29,IF(C23="Coordinator",INPUTS!$B$30,INPUTS!$B$25*INPUTS!$B$29+INPUTS!$B$26*INPUTS!$B$30))</f>
        <v>60</v>
      </c>
      <c r="K23" s="51" t="n">
        <f aca="false">IF(D23="Yes",H23*I23,0)</f>
        <v>1440</v>
      </c>
      <c r="L23" s="51" t="n">
        <f aca="false">IF(D23="Yes",H23*J23,0)</f>
        <v>960</v>
      </c>
      <c r="M23" s="52" t="n">
        <v>8</v>
      </c>
      <c r="N23" s="52" t="n">
        <v>15</v>
      </c>
      <c r="O23" s="52" t="n">
        <v>20</v>
      </c>
      <c r="P23" s="53" t="n">
        <f aca="false">IF(D23="Yes",COUNTIF($D$4:D23,"Yes"),"")</f>
        <v>15</v>
      </c>
    </row>
    <row r="24" customFormat="false" ht="15" hidden="false" customHeight="false" outlineLevel="0" collapsed="false">
      <c r="A24" s="46" t="n">
        <v>21</v>
      </c>
      <c r="B24" s="25" t="s">
        <v>203</v>
      </c>
      <c r="C24" s="26" t="s">
        <v>163</v>
      </c>
      <c r="D24" s="47" t="s">
        <v>99</v>
      </c>
      <c r="E24" s="25" t="s">
        <v>204</v>
      </c>
      <c r="F24" s="48" t="n">
        <f aca="false">55</f>
        <v>55</v>
      </c>
      <c r="G24" s="49"/>
      <c r="H24" s="48" t="n">
        <f aca="false">IF(ISNUMBER(G24),G24,F24)</f>
        <v>55</v>
      </c>
      <c r="I24" s="50" t="n">
        <f aca="false">IF(C24="Manager",INPUTS!$B$31,IF(C24="Coordinator",INPUTS!$B$32,INPUTS!$B$25*INPUTS!$B$31+INPUTS!$B$26*INPUTS!$B$32))</f>
        <v>90</v>
      </c>
      <c r="J24" s="50" t="n">
        <f aca="false">IF(C24="Manager",INPUTS!$B$29,IF(C24="Coordinator",INPUTS!$B$30,INPUTS!$B$25*INPUTS!$B$29+INPUTS!$B$26*INPUTS!$B$30))</f>
        <v>60</v>
      </c>
      <c r="K24" s="51" t="n">
        <f aca="false">IF(D24="Yes",H24*I24,0)</f>
        <v>0</v>
      </c>
      <c r="L24" s="51" t="n">
        <f aca="false">IF(D24="Yes",H24*J24,0)</f>
        <v>0</v>
      </c>
      <c r="M24" s="52"/>
      <c r="N24" s="52" t="n">
        <v>65</v>
      </c>
      <c r="O24" s="52" t="n">
        <v>55</v>
      </c>
      <c r="P24" s="53" t="str">
        <f aca="false">IF(D24="Yes",COUNTIF($D$4:D24,"Yes"),"")</f>
        <v/>
      </c>
    </row>
    <row r="25" customFormat="false" ht="15" hidden="false" customHeight="false" outlineLevel="0" collapsed="false">
      <c r="A25" s="46" t="n">
        <v>22</v>
      </c>
      <c r="B25" s="25" t="s">
        <v>205</v>
      </c>
      <c r="C25" s="26" t="s">
        <v>163</v>
      </c>
      <c r="D25" s="47" t="s">
        <v>99</v>
      </c>
      <c r="E25" s="25" t="s">
        <v>206</v>
      </c>
      <c r="F25" s="48" t="n">
        <f aca="false">60</f>
        <v>60</v>
      </c>
      <c r="G25" s="49"/>
      <c r="H25" s="48" t="n">
        <f aca="false">IF(ISNUMBER(G25),G25,F25)</f>
        <v>60</v>
      </c>
      <c r="I25" s="50" t="n">
        <f aca="false">IF(C25="Manager",INPUTS!$B$31,IF(C25="Coordinator",INPUTS!$B$32,INPUTS!$B$25*INPUTS!$B$31+INPUTS!$B$26*INPUTS!$B$32))</f>
        <v>90</v>
      </c>
      <c r="J25" s="50" t="n">
        <f aca="false">IF(C25="Manager",INPUTS!$B$29,IF(C25="Coordinator",INPUTS!$B$30,INPUTS!$B$25*INPUTS!$B$29+INPUTS!$B$26*INPUTS!$B$30))</f>
        <v>60</v>
      </c>
      <c r="K25" s="51" t="n">
        <f aca="false">IF(D25="Yes",H25*I25,0)</f>
        <v>0</v>
      </c>
      <c r="L25" s="51" t="n">
        <f aca="false">IF(D25="Yes",H25*J25,0)</f>
        <v>0</v>
      </c>
      <c r="M25" s="52"/>
      <c r="N25" s="52"/>
      <c r="O25" s="52" t="n">
        <v>60</v>
      </c>
      <c r="P25" s="53" t="str">
        <f aca="false">IF(D25="Yes",COUNTIF($D$4:D25,"Yes"),"")</f>
        <v/>
      </c>
    </row>
    <row r="26" customFormat="false" ht="15" hidden="false" customHeight="false" outlineLevel="0" collapsed="false">
      <c r="A26" s="46" t="n">
        <v>23</v>
      </c>
      <c r="B26" s="25" t="s">
        <v>207</v>
      </c>
      <c r="C26" s="26" t="s">
        <v>163</v>
      </c>
      <c r="D26" s="47" t="s">
        <v>99</v>
      </c>
      <c r="E26" s="25" t="s">
        <v>208</v>
      </c>
      <c r="F26" s="48" t="n">
        <f aca="false">30</f>
        <v>30</v>
      </c>
      <c r="G26" s="49"/>
      <c r="H26" s="48" t="n">
        <f aca="false">IF(ISNUMBER(G26),G26,F26)</f>
        <v>30</v>
      </c>
      <c r="I26" s="50" t="n">
        <f aca="false">IF(C26="Manager",INPUTS!$B$31,IF(C26="Coordinator",INPUTS!$B$32,INPUTS!$B$25*INPUTS!$B$31+INPUTS!$B$26*INPUTS!$B$32))</f>
        <v>90</v>
      </c>
      <c r="J26" s="50" t="n">
        <f aca="false">IF(C26="Manager",INPUTS!$B$29,IF(C26="Coordinator",INPUTS!$B$30,INPUTS!$B$25*INPUTS!$B$29+INPUTS!$B$26*INPUTS!$B$30))</f>
        <v>60</v>
      </c>
      <c r="K26" s="51" t="n">
        <f aca="false">IF(D26="Yes",H26*I26,0)</f>
        <v>0</v>
      </c>
      <c r="L26" s="51" t="n">
        <f aca="false">IF(D26="Yes",H26*J26,0)</f>
        <v>0</v>
      </c>
      <c r="M26" s="52"/>
      <c r="N26" s="52"/>
      <c r="O26" s="52" t="n">
        <v>30</v>
      </c>
      <c r="P26" s="53" t="str">
        <f aca="false">IF(D26="Yes",COUNTIF($D$4:D26,"Yes"),"")</f>
        <v/>
      </c>
    </row>
    <row r="27" customFormat="false" ht="15" hidden="false" customHeight="false" outlineLevel="0" collapsed="false">
      <c r="A27" s="46" t="n">
        <v>24</v>
      </c>
      <c r="B27" s="25" t="s">
        <v>209</v>
      </c>
      <c r="C27" s="26" t="s">
        <v>163</v>
      </c>
      <c r="D27" s="47" t="s">
        <v>99</v>
      </c>
      <c r="E27" s="25" t="s">
        <v>210</v>
      </c>
      <c r="F27" s="48" t="n">
        <f aca="false">45</f>
        <v>45</v>
      </c>
      <c r="G27" s="49"/>
      <c r="H27" s="48" t="n">
        <f aca="false">IF(ISNUMBER(G27),G27,F27)</f>
        <v>45</v>
      </c>
      <c r="I27" s="50" t="n">
        <f aca="false">IF(C27="Manager",INPUTS!$B$31,IF(C27="Coordinator",INPUTS!$B$32,INPUTS!$B$25*INPUTS!$B$31+INPUTS!$B$26*INPUTS!$B$32))</f>
        <v>90</v>
      </c>
      <c r="J27" s="50" t="n">
        <f aca="false">IF(C27="Manager",INPUTS!$B$29,IF(C27="Coordinator",INPUTS!$B$30,INPUTS!$B$25*INPUTS!$B$29+INPUTS!$B$26*INPUTS!$B$30))</f>
        <v>60</v>
      </c>
      <c r="K27" s="51" t="n">
        <f aca="false">IF(D27="Yes",H27*I27,0)</f>
        <v>0</v>
      </c>
      <c r="L27" s="51" t="n">
        <f aca="false">IF(D27="Yes",H27*J27,0)</f>
        <v>0</v>
      </c>
      <c r="M27" s="52"/>
      <c r="N27" s="52"/>
      <c r="O27" s="52" t="n">
        <v>45</v>
      </c>
      <c r="P27" s="53" t="str">
        <f aca="false">IF(D27="Yes",COUNTIF($D$4:D27,"Yes"),"")</f>
        <v/>
      </c>
    </row>
    <row r="28" customFormat="false" ht="15" hidden="false" customHeight="false" outlineLevel="0" collapsed="false">
      <c r="A28" s="46" t="n">
        <v>25</v>
      </c>
      <c r="B28" s="25" t="s">
        <v>211</v>
      </c>
      <c r="C28" s="26" t="s">
        <v>163</v>
      </c>
      <c r="D28" s="47" t="s">
        <v>99</v>
      </c>
      <c r="E28" s="25" t="s">
        <v>212</v>
      </c>
      <c r="F28" s="48" t="n">
        <f aca="false">20</f>
        <v>20</v>
      </c>
      <c r="G28" s="49"/>
      <c r="H28" s="48" t="n">
        <f aca="false">IF(ISNUMBER(G28),G28,F28)</f>
        <v>20</v>
      </c>
      <c r="I28" s="50" t="n">
        <f aca="false">IF(C28="Manager",INPUTS!$B$31,IF(C28="Coordinator",INPUTS!$B$32,INPUTS!$B$25*INPUTS!$B$31+INPUTS!$B$26*INPUTS!$B$32))</f>
        <v>90</v>
      </c>
      <c r="J28" s="50" t="n">
        <f aca="false">IF(C28="Manager",INPUTS!$B$29,IF(C28="Coordinator",INPUTS!$B$30,INPUTS!$B$25*INPUTS!$B$29+INPUTS!$B$26*INPUTS!$B$30))</f>
        <v>60</v>
      </c>
      <c r="K28" s="51" t="n">
        <f aca="false">IF(D28="Yes",H28*I28,0)</f>
        <v>0</v>
      </c>
      <c r="L28" s="51" t="n">
        <f aca="false">IF(D28="Yes",H28*J28,0)</f>
        <v>0</v>
      </c>
      <c r="M28" s="52"/>
      <c r="N28" s="52"/>
      <c r="O28" s="52" t="n">
        <v>20</v>
      </c>
      <c r="P28" s="53" t="str">
        <f aca="false">IF(D28="Yes",COUNTIF($D$4:D28,"Yes"),"")</f>
        <v/>
      </c>
    </row>
    <row r="29" customFormat="false" ht="15" hidden="false" customHeight="false" outlineLevel="0" collapsed="false">
      <c r="A29" s="54"/>
      <c r="B29" s="54" t="s">
        <v>213</v>
      </c>
      <c r="C29" s="54"/>
      <c r="D29" s="54"/>
      <c r="E29" s="54"/>
      <c r="F29" s="54"/>
      <c r="G29" s="54"/>
      <c r="H29" s="55" t="n">
        <f aca="false">SUMIF($D$4:$D$28,"Yes",$H$4:$H$28)</f>
        <v>423</v>
      </c>
      <c r="I29" s="54"/>
      <c r="J29" s="54"/>
      <c r="K29" s="56" t="n">
        <f aca="false">SUM(K4:K28)</f>
        <v>37380</v>
      </c>
      <c r="L29" s="56" t="n">
        <f aca="false">SUM(L4:L28)</f>
        <v>24696</v>
      </c>
      <c r="M29" s="54"/>
      <c r="N29" s="54"/>
      <c r="O29" s="54"/>
      <c r="P29" s="54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4" t="s">
        <v>214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4" t="s">
        <v>215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</sheetData>
  <dataValidations count="1">
    <dataValidation allowBlank="false" errorStyle="stop" operator="between" showDropDown="false" showErrorMessage="false" showInputMessage="false" sqref="D4:D2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10" min="8" style="0" width="16"/>
    <col collapsed="false" customWidth="true" hidden="false" outlineLevel="0" max="11" min="11" style="0" width="14"/>
    <col collapsed="false" customWidth="true" hidden="false" outlineLevel="0" max="12" min="12" style="0" width="11"/>
  </cols>
  <sheetData>
    <row r="1" customFormat="false" ht="17.35" hidden="false" customHeight="false" outlineLevel="0" collapsed="false">
      <c r="A1" s="45" t="s">
        <v>216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24" t="s">
        <v>217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3.75" hidden="false" customHeight="true" outlineLevel="0" collapsed="false">
      <c r="A4" s="6" t="s">
        <v>218</v>
      </c>
      <c r="B4" s="6" t="s">
        <v>219</v>
      </c>
      <c r="C4" s="6" t="s">
        <v>220</v>
      </c>
      <c r="D4" s="6" t="s">
        <v>221</v>
      </c>
      <c r="E4" s="6" t="s">
        <v>222</v>
      </c>
      <c r="F4" s="6" t="s">
        <v>223</v>
      </c>
      <c r="G4" s="6" t="s">
        <v>224</v>
      </c>
      <c r="H4" s="6" t="s">
        <v>225</v>
      </c>
      <c r="I4" s="6" t="s">
        <v>226</v>
      </c>
      <c r="J4" s="6" t="s">
        <v>227</v>
      </c>
      <c r="K4" s="6" t="s">
        <v>228</v>
      </c>
      <c r="L4" s="6" t="s">
        <v>6</v>
      </c>
    </row>
    <row r="5" customFormat="false" ht="15" hidden="false" customHeight="false" outlineLevel="0" collapsed="false">
      <c r="A5" s="7" t="s">
        <v>229</v>
      </c>
      <c r="B5" s="7" t="s">
        <v>230</v>
      </c>
      <c r="C5" s="7" t="s">
        <v>231</v>
      </c>
      <c r="D5" s="7" t="n">
        <v>3</v>
      </c>
      <c r="E5" s="16" t="n">
        <v>263</v>
      </c>
      <c r="F5" s="8" t="n">
        <v>22315</v>
      </c>
      <c r="G5" s="16" t="n">
        <v>132</v>
      </c>
      <c r="H5" s="8" t="n">
        <v>11100</v>
      </c>
      <c r="I5" s="8" t="n">
        <v>33415</v>
      </c>
      <c r="J5" s="8" t="n">
        <v>19630</v>
      </c>
      <c r="K5" s="8" t="n">
        <v>13785</v>
      </c>
      <c r="L5" s="9" t="n">
        <v>0.4125</v>
      </c>
    </row>
    <row r="6" customFormat="false" ht="15" hidden="false" customHeight="false" outlineLevel="0" collapsed="false">
      <c r="A6" s="7" t="s">
        <v>232</v>
      </c>
      <c r="B6" s="7" t="s">
        <v>233</v>
      </c>
      <c r="C6" s="7" t="s">
        <v>234</v>
      </c>
      <c r="D6" s="7" t="n">
        <v>3</v>
      </c>
      <c r="E6" s="16" t="n">
        <v>617</v>
      </c>
      <c r="F6" s="8" t="n">
        <v>51845</v>
      </c>
      <c r="G6" s="16" t="n">
        <v>272</v>
      </c>
      <c r="H6" s="8" t="n">
        <v>27800</v>
      </c>
      <c r="I6" s="8" t="n">
        <v>79645</v>
      </c>
      <c r="J6" s="8" t="n">
        <v>42274</v>
      </c>
      <c r="K6" s="8" t="n">
        <v>37371</v>
      </c>
      <c r="L6" s="9" t="n">
        <v>0.4692</v>
      </c>
    </row>
    <row r="7" customFormat="false" ht="15" hidden="false" customHeight="false" outlineLevel="0" collapsed="false">
      <c r="A7" s="7" t="s">
        <v>235</v>
      </c>
      <c r="B7" s="7" t="s">
        <v>236</v>
      </c>
      <c r="C7" s="7" t="s">
        <v>237</v>
      </c>
      <c r="D7" s="7" t="n">
        <v>4</v>
      </c>
      <c r="E7" s="16" t="n">
        <v>1182</v>
      </c>
      <c r="F7" s="8" t="n">
        <v>107870</v>
      </c>
      <c r="G7" s="16" t="n">
        <v>350</v>
      </c>
      <c r="H7" s="8" t="n">
        <v>30725</v>
      </c>
      <c r="I7" s="8" t="n">
        <v>138595</v>
      </c>
      <c r="J7" s="8" t="n">
        <v>73966</v>
      </c>
      <c r="K7" s="8" t="n">
        <v>64629</v>
      </c>
      <c r="L7" s="9" t="n">
        <v>0.4663</v>
      </c>
    </row>
    <row r="8" customFormat="false" ht="15" hidden="false" customHeight="false" outlineLevel="0" collapsed="false">
      <c r="A8" s="7" t="s">
        <v>238</v>
      </c>
      <c r="B8" s="7" t="s">
        <v>239</v>
      </c>
      <c r="C8" s="7" t="s">
        <v>240</v>
      </c>
      <c r="D8" s="7" t="n">
        <v>3</v>
      </c>
      <c r="E8" s="16" t="n">
        <v>1887</v>
      </c>
      <c r="F8" s="8" t="n">
        <v>134545</v>
      </c>
      <c r="G8" s="16" t="n">
        <v>334</v>
      </c>
      <c r="H8" s="8" t="n">
        <v>31900</v>
      </c>
      <c r="I8" s="8" t="n">
        <v>166445</v>
      </c>
      <c r="J8" s="8" t="n">
        <v>105151</v>
      </c>
      <c r="K8" s="8" t="n">
        <v>61294</v>
      </c>
      <c r="L8" s="9" t="n">
        <v>0.3683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24" t="s">
        <v>241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5" hidden="false" customHeight="false" outlineLevel="0" collapsed="false">
      <c r="A13" s="5" t="s">
        <v>242</v>
      </c>
      <c r="B13" s="5"/>
      <c r="C13" s="5"/>
      <c r="D13" s="5"/>
      <c r="E13" s="5"/>
      <c r="F13" s="5"/>
      <c r="G13" s="2"/>
      <c r="H13" s="2"/>
      <c r="I13" s="2"/>
      <c r="J13" s="2"/>
      <c r="K13" s="2"/>
      <c r="L13" s="2"/>
    </row>
    <row r="14" customFormat="false" ht="33.75" hidden="false" customHeight="true" outlineLevel="0" collapsed="false">
      <c r="A14" s="6" t="s">
        <v>218</v>
      </c>
      <c r="B14" s="6" t="s">
        <v>243</v>
      </c>
      <c r="C14" s="6" t="s">
        <v>244</v>
      </c>
      <c r="D14" s="6" t="s">
        <v>245</v>
      </c>
      <c r="E14" s="6" t="s">
        <v>246</v>
      </c>
      <c r="F14" s="6" t="s">
        <v>247</v>
      </c>
      <c r="G14" s="2"/>
      <c r="H14" s="2"/>
      <c r="I14" s="2"/>
      <c r="J14" s="2"/>
      <c r="K14" s="2"/>
      <c r="L14" s="2"/>
    </row>
    <row r="15" customFormat="false" ht="23.85" hidden="false" customHeight="false" outlineLevel="0" collapsed="false">
      <c r="A15" s="57" t="s">
        <v>229</v>
      </c>
      <c r="B15" s="25" t="s">
        <v>248</v>
      </c>
      <c r="C15" s="25" t="s">
        <v>249</v>
      </c>
      <c r="D15" s="25" t="s">
        <v>250</v>
      </c>
      <c r="E15" s="25" t="s">
        <v>251</v>
      </c>
      <c r="F15" s="25" t="s">
        <v>252</v>
      </c>
      <c r="G15" s="2"/>
      <c r="H15" s="2"/>
      <c r="I15" s="2"/>
      <c r="J15" s="2"/>
      <c r="K15" s="2"/>
      <c r="L15" s="2"/>
    </row>
    <row r="16" customFormat="false" ht="23.85" hidden="false" customHeight="false" outlineLevel="0" collapsed="false">
      <c r="A16" s="57" t="s">
        <v>232</v>
      </c>
      <c r="B16" s="25" t="s">
        <v>253</v>
      </c>
      <c r="C16" s="25" t="s">
        <v>254</v>
      </c>
      <c r="D16" s="25" t="s">
        <v>255</v>
      </c>
      <c r="E16" s="25" t="s">
        <v>256</v>
      </c>
      <c r="F16" s="25" t="s">
        <v>257</v>
      </c>
      <c r="G16" s="2"/>
      <c r="H16" s="2"/>
      <c r="I16" s="2"/>
      <c r="J16" s="2"/>
      <c r="K16" s="2"/>
      <c r="L16" s="2"/>
    </row>
    <row r="17" customFormat="false" ht="23.85" hidden="false" customHeight="false" outlineLevel="0" collapsed="false">
      <c r="A17" s="57" t="s">
        <v>235</v>
      </c>
      <c r="B17" s="25" t="s">
        <v>258</v>
      </c>
      <c r="C17" s="25" t="s">
        <v>259</v>
      </c>
      <c r="D17" s="25" t="s">
        <v>260</v>
      </c>
      <c r="E17" s="25" t="s">
        <v>261</v>
      </c>
      <c r="F17" s="25" t="s">
        <v>262</v>
      </c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24" t="s">
        <v>263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24" t="s">
        <v>264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5" t="s">
        <v>265</v>
      </c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</row>
    <row r="23" customFormat="false" ht="19.5" hidden="false" customHeight="true" outlineLevel="0" collapsed="false">
      <c r="A23" s="6" t="s">
        <v>2</v>
      </c>
      <c r="B23" s="6" t="s">
        <v>266</v>
      </c>
      <c r="C23" s="6" t="s">
        <v>267</v>
      </c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57" t="s">
        <v>268</v>
      </c>
      <c r="B24" s="25" t="s">
        <v>269</v>
      </c>
      <c r="C24" s="25" t="s">
        <v>270</v>
      </c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5" hidden="false" customHeight="false" outlineLevel="0" collapsed="false">
      <c r="A25" s="57" t="s">
        <v>271</v>
      </c>
      <c r="B25" s="25" t="s">
        <v>272</v>
      </c>
      <c r="C25" s="25" t="s">
        <v>273</v>
      </c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5" hidden="false" customHeight="false" outlineLevel="0" collapsed="false">
      <c r="A26" s="57" t="s">
        <v>274</v>
      </c>
      <c r="B26" s="25" t="s">
        <v>275</v>
      </c>
      <c r="C26" s="25" t="s">
        <v>276</v>
      </c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5" hidden="false" customHeight="false" outlineLevel="0" collapsed="false">
      <c r="A27" s="57" t="s">
        <v>277</v>
      </c>
      <c r="B27" s="25" t="s">
        <v>275</v>
      </c>
      <c r="C27" s="25" t="s">
        <v>278</v>
      </c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5" hidden="false" customHeight="false" outlineLevel="0" collapsed="false">
      <c r="A28" s="57" t="s">
        <v>279</v>
      </c>
      <c r="B28" s="25" t="s">
        <v>280</v>
      </c>
      <c r="C28" s="25" t="s">
        <v>281</v>
      </c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57" t="s">
        <v>282</v>
      </c>
      <c r="B29" s="25" t="s">
        <v>283</v>
      </c>
      <c r="C29" s="25" t="s">
        <v>284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57" t="s">
        <v>285</v>
      </c>
      <c r="B30" s="25" t="s">
        <v>286</v>
      </c>
      <c r="C30" s="25" t="s">
        <v>287</v>
      </c>
      <c r="D30" s="2"/>
      <c r="E30" s="2"/>
      <c r="F30" s="2"/>
      <c r="G30" s="2"/>
      <c r="H30" s="2"/>
      <c r="I30" s="2"/>
      <c r="J30" s="2"/>
      <c r="K30" s="2"/>
      <c r="L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2"/>
      <c r="B1" s="1" t="s">
        <v>288</v>
      </c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2"/>
      <c r="B4" s="58" t="s">
        <v>289</v>
      </c>
    </row>
    <row r="5" customFormat="false" ht="30" hidden="false" customHeight="true" outlineLevel="0" collapsed="false">
      <c r="A5" s="2"/>
      <c r="B5" s="59" t="s">
        <v>290</v>
      </c>
    </row>
    <row r="6" customFormat="false" ht="30" hidden="false" customHeight="true" outlineLevel="0" collapsed="false">
      <c r="A6" s="2"/>
      <c r="B6" s="59" t="s">
        <v>291</v>
      </c>
    </row>
    <row r="7" customFormat="false" ht="30" hidden="false" customHeight="true" outlineLevel="0" collapsed="false">
      <c r="A7" s="2"/>
      <c r="B7" s="59" t="s">
        <v>292</v>
      </c>
    </row>
    <row r="8" customFormat="false" ht="30" hidden="false" customHeight="true" outlineLevel="0" collapsed="false">
      <c r="A8" s="2"/>
      <c r="B8" s="59" t="s">
        <v>293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2"/>
      <c r="B10" s="58" t="s">
        <v>294</v>
      </c>
    </row>
    <row r="11" customFormat="false" ht="30" hidden="false" customHeight="true" outlineLevel="0" collapsed="false">
      <c r="A11" s="2"/>
      <c r="B11" s="59" t="s">
        <v>295</v>
      </c>
    </row>
    <row r="12" customFormat="false" ht="30" hidden="false" customHeight="true" outlineLevel="0" collapsed="false">
      <c r="A12" s="2"/>
      <c r="B12" s="59" t="s">
        <v>296</v>
      </c>
    </row>
    <row r="13" customFormat="false" ht="30" hidden="false" customHeight="true" outlineLevel="0" collapsed="false">
      <c r="A13" s="2"/>
      <c r="B13" s="59" t="s">
        <v>297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2"/>
      <c r="B15" s="58" t="s">
        <v>298</v>
      </c>
    </row>
    <row r="16" customFormat="false" ht="30" hidden="false" customHeight="true" outlineLevel="0" collapsed="false">
      <c r="A16" s="2"/>
      <c r="B16" s="59" t="s">
        <v>299</v>
      </c>
    </row>
    <row r="17" customFormat="false" ht="30" hidden="false" customHeight="true" outlineLevel="0" collapsed="false">
      <c r="A17" s="2"/>
      <c r="B17" s="59" t="s">
        <v>300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2"/>
      <c r="B19" s="58" t="s">
        <v>301</v>
      </c>
    </row>
    <row r="20" customFormat="false" ht="30" hidden="false" customHeight="true" outlineLevel="0" collapsed="false">
      <c r="A20" s="2"/>
      <c r="B20" s="59" t="s">
        <v>302</v>
      </c>
    </row>
    <row r="21" customFormat="false" ht="30" hidden="false" customHeight="true" outlineLevel="0" collapsed="false">
      <c r="A21" s="2"/>
      <c r="B21" s="59" t="s">
        <v>303</v>
      </c>
    </row>
    <row r="22" customFormat="false" ht="30" hidden="false" customHeight="true" outlineLevel="0" collapsed="false">
      <c r="A22" s="2"/>
      <c r="B22" s="59" t="s">
        <v>304</v>
      </c>
    </row>
    <row r="23" customFormat="false" ht="30" hidden="false" customHeight="true" outlineLevel="0" collapsed="false">
      <c r="A23" s="2"/>
      <c r="B23" s="59" t="s">
        <v>305</v>
      </c>
    </row>
    <row r="24" customFormat="false" ht="30" hidden="false" customHeight="true" outlineLevel="0" collapsed="false">
      <c r="A24" s="2"/>
      <c r="B24" s="59" t="s">
        <v>306</v>
      </c>
    </row>
    <row r="25" customFormat="false" ht="15" hidden="false" customHeight="false" outlineLevel="0" collapsed="false">
      <c r="A25" s="2"/>
      <c r="B25" s="2"/>
    </row>
    <row r="26" customFormat="false" ht="15" hidden="false" customHeight="false" outlineLevel="0" collapsed="false">
      <c r="A26" s="2"/>
      <c r="B26" s="58" t="s">
        <v>307</v>
      </c>
    </row>
    <row r="27" customFormat="false" ht="30" hidden="false" customHeight="true" outlineLevel="0" collapsed="false">
      <c r="A27" s="2"/>
      <c r="B27" s="59" t="s">
        <v>308</v>
      </c>
    </row>
    <row r="28" customFormat="false" ht="30" hidden="false" customHeight="true" outlineLevel="0" collapsed="false">
      <c r="A28" s="2"/>
      <c r="B28" s="59" t="s">
        <v>309</v>
      </c>
    </row>
    <row r="29" customFormat="false" ht="30" hidden="false" customHeight="true" outlineLevel="0" collapsed="false">
      <c r="A29" s="2"/>
      <c r="B29" s="59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2026-08-20T16:10:44Z</dcterms:created>
  <dc:creator>openpyxl</dc:creator>
  <dc:description/>
  <dc:language>en-US</dc:language>
  <cp:lastModifiedBy/>
  <dcterms:modified xsi:type="dcterms:W3CDTF">2026-08-20T16:10:44Z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